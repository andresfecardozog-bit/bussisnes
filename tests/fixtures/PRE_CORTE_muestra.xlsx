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Facturacionbogota\Documents\DESPACHOS 2026\PRE CORTES 2026\FEBRERO 2026\"/>
    </mc:Choice>
  </mc:AlternateContent>
  <xr:revisionPtr revIDLastSave="0" documentId="13_ncr:1_{F9D7DF4A-41E5-424C-8A0F-A037D63082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uadro 1" sheetId="2" r:id="rId2"/>
    <sheet name="cuadro 2" sheetId="3" r:id="rId3"/>
    <sheet name="cuadro 3" sheetId="4" r:id="rId4"/>
    <sheet name="NOTIFICACION" sheetId="5" r:id="rId5"/>
    <sheet name="INVENTARIO FISICO" sheetId="6" r:id="rId6"/>
    <sheet name="CONSUMO MATERIAL DE EMPAQUE" sheetId="7" state="hidden" r:id="rId7"/>
  </sheets>
  <definedNames>
    <definedName name="_xlnm._FilterDatabase" localSheetId="4" hidden="1">NOTIFICACION!$C$4:$K$35</definedName>
    <definedName name="_xlnm.Print_Area" localSheetId="0">RESUMEN!$A$2:$S$44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E15" i="2"/>
  <c r="D15" i="2"/>
  <c r="J15" i="2"/>
  <c r="J16" i="2"/>
  <c r="C11" i="2"/>
  <c r="D21" i="2"/>
  <c r="I9" i="2"/>
  <c r="M12" i="3"/>
  <c r="Q16" i="1" l="1"/>
  <c r="E19" i="5"/>
  <c r="E15" i="5"/>
  <c r="E11" i="5"/>
  <c r="E16" i="5"/>
  <c r="H26" i="5"/>
  <c r="G26" i="5" s="1"/>
  <c r="H41" i="5"/>
  <c r="H40" i="5"/>
  <c r="G40" i="5" s="1"/>
  <c r="H39" i="5"/>
  <c r="G39" i="5" s="1"/>
  <c r="H38" i="5"/>
  <c r="G38" i="5" s="1"/>
  <c r="H37" i="5"/>
  <c r="G37" i="5" s="1"/>
  <c r="H36" i="5"/>
  <c r="G36" i="5" s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C11" i="1"/>
  <c r="E17" i="5" s="1"/>
  <c r="D11" i="1"/>
  <c r="E13" i="5" s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E26" i="5" s="1"/>
  <c r="F26" i="5" s="1"/>
  <c r="P13" i="1"/>
  <c r="Q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C16" i="1"/>
  <c r="D16" i="1"/>
  <c r="E16" i="1"/>
  <c r="F16" i="1"/>
  <c r="E36" i="5" s="1"/>
  <c r="F36" i="5" s="1"/>
  <c r="G16" i="1"/>
  <c r="H16" i="1"/>
  <c r="I16" i="1"/>
  <c r="J16" i="1"/>
  <c r="K16" i="1"/>
  <c r="L16" i="1"/>
  <c r="M16" i="1"/>
  <c r="N16" i="1"/>
  <c r="O16" i="1"/>
  <c r="P16" i="1"/>
  <c r="C17" i="1"/>
  <c r="D17" i="1"/>
  <c r="E17" i="1"/>
  <c r="F17" i="1"/>
  <c r="G17" i="1"/>
  <c r="H17" i="1"/>
  <c r="E21" i="5" s="1"/>
  <c r="I17" i="1"/>
  <c r="J17" i="1"/>
  <c r="K17" i="1"/>
  <c r="L17" i="1"/>
  <c r="M17" i="1"/>
  <c r="N17" i="1"/>
  <c r="O17" i="1"/>
  <c r="P17" i="1"/>
  <c r="Q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C30" i="1"/>
  <c r="D30" i="1"/>
  <c r="E30" i="1"/>
  <c r="F30" i="1"/>
  <c r="G30" i="1"/>
  <c r="H30" i="1"/>
  <c r="I30" i="1"/>
  <c r="J30" i="1"/>
  <c r="K30" i="1"/>
  <c r="L30" i="1"/>
  <c r="M30" i="1"/>
  <c r="E38" i="5" s="1"/>
  <c r="F38" i="5" s="1"/>
  <c r="N30" i="1"/>
  <c r="O30" i="1"/>
  <c r="E37" i="5" s="1"/>
  <c r="F37" i="5" s="1"/>
  <c r="P30" i="1"/>
  <c r="Q30" i="1"/>
  <c r="C31" i="1"/>
  <c r="D31" i="1"/>
  <c r="E31" i="1"/>
  <c r="F31" i="1"/>
  <c r="G31" i="1"/>
  <c r="H31" i="1"/>
  <c r="I31" i="1"/>
  <c r="J31" i="1"/>
  <c r="K31" i="1"/>
  <c r="L31" i="1"/>
  <c r="M31" i="1"/>
  <c r="E39" i="5" s="1"/>
  <c r="F39" i="5" s="1"/>
  <c r="N31" i="1"/>
  <c r="O31" i="1"/>
  <c r="P31" i="1"/>
  <c r="Q31" i="1"/>
  <c r="C32" i="1"/>
  <c r="D32" i="1"/>
  <c r="E32" i="1"/>
  <c r="F32" i="1"/>
  <c r="G32" i="1"/>
  <c r="H32" i="1"/>
  <c r="I32" i="1"/>
  <c r="J32" i="1"/>
  <c r="E41" i="5" s="1"/>
  <c r="F41" i="5" s="1"/>
  <c r="K32" i="1"/>
  <c r="L32" i="1"/>
  <c r="M32" i="1"/>
  <c r="N32" i="1"/>
  <c r="O32" i="1"/>
  <c r="P32" i="1"/>
  <c r="Q32" i="1"/>
  <c r="C33" i="1"/>
  <c r="D33" i="1"/>
  <c r="E33" i="1"/>
  <c r="F33" i="1"/>
  <c r="G33" i="1"/>
  <c r="H33" i="1"/>
  <c r="I33" i="1"/>
  <c r="J33" i="1"/>
  <c r="K33" i="1"/>
  <c r="L33" i="1"/>
  <c r="M33" i="1"/>
  <c r="E40" i="5" s="1"/>
  <c r="F40" i="5" s="1"/>
  <c r="N33" i="1"/>
  <c r="O33" i="1"/>
  <c r="P33" i="1"/>
  <c r="Q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C43" i="2"/>
  <c r="C42" i="2"/>
  <c r="Q39" i="2"/>
  <c r="Q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C41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C40" i="2"/>
  <c r="H39" i="2"/>
  <c r="D39" i="2"/>
  <c r="E39" i="2"/>
  <c r="F39" i="2"/>
  <c r="G39" i="2"/>
  <c r="I39" i="2"/>
  <c r="J39" i="2"/>
  <c r="K39" i="2"/>
  <c r="L39" i="2"/>
  <c r="M39" i="2"/>
  <c r="N39" i="2"/>
  <c r="O39" i="2"/>
  <c r="P39" i="2"/>
  <c r="C39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C37" i="2"/>
  <c r="K44" i="3" l="1"/>
  <c r="D44" i="3"/>
  <c r="L44" i="3"/>
  <c r="J36" i="5"/>
  <c r="K36" i="5" s="1"/>
  <c r="R42" i="3"/>
  <c r="D44" i="4"/>
  <c r="H44" i="4"/>
  <c r="L44" i="4"/>
  <c r="P44" i="4"/>
  <c r="R42" i="4"/>
  <c r="H38" i="4"/>
  <c r="C38" i="4"/>
  <c r="L38" i="4"/>
  <c r="E44" i="4"/>
  <c r="I44" i="4"/>
  <c r="M44" i="4"/>
  <c r="Q44" i="4"/>
  <c r="J44" i="4"/>
  <c r="R41" i="4"/>
  <c r="F44" i="4"/>
  <c r="N44" i="4"/>
  <c r="R40" i="4"/>
  <c r="I26" i="5"/>
  <c r="R39" i="4"/>
  <c r="G44" i="4"/>
  <c r="K44" i="4"/>
  <c r="O44" i="4"/>
  <c r="R43" i="4"/>
  <c r="J26" i="5"/>
  <c r="K26" i="5" s="1"/>
  <c r="Q37" i="3"/>
  <c r="Q40" i="3"/>
  <c r="L38" i="3"/>
  <c r="J39" i="5"/>
  <c r="K39" i="5" s="1"/>
  <c r="J38" i="5"/>
  <c r="K38" i="5" s="1"/>
  <c r="J40" i="5"/>
  <c r="K40" i="5" s="1"/>
  <c r="J41" i="5"/>
  <c r="K41" i="5" s="1"/>
  <c r="I40" i="5"/>
  <c r="I39" i="5"/>
  <c r="I38" i="5"/>
  <c r="J37" i="5"/>
  <c r="K37" i="5" s="1"/>
  <c r="I36" i="5"/>
  <c r="I37" i="5"/>
  <c r="G41" i="5"/>
  <c r="I41" i="5" s="1"/>
  <c r="M44" i="3"/>
  <c r="E44" i="3"/>
  <c r="C44" i="2"/>
  <c r="M37" i="1"/>
  <c r="H44" i="3"/>
  <c r="H38" i="3"/>
  <c r="I44" i="3"/>
  <c r="Q44" i="3"/>
  <c r="J44" i="3"/>
  <c r="P44" i="3"/>
  <c r="R43" i="3"/>
  <c r="R41" i="3"/>
  <c r="C38" i="3"/>
  <c r="N44" i="3"/>
  <c r="R39" i="3"/>
  <c r="F44" i="3"/>
  <c r="G44" i="3"/>
  <c r="O44" i="3"/>
  <c r="L38" i="2"/>
  <c r="R39" i="2"/>
  <c r="H38" i="2"/>
  <c r="C38" i="2"/>
  <c r="C44" i="4"/>
  <c r="R40" i="3"/>
  <c r="C44" i="3"/>
  <c r="G15" i="5"/>
  <c r="H6" i="5"/>
  <c r="G6" i="5" s="1"/>
  <c r="H7" i="5"/>
  <c r="G7" i="5" s="1"/>
  <c r="H8" i="5"/>
  <c r="G8" i="5" s="1"/>
  <c r="H9" i="5"/>
  <c r="G9" i="5" s="1"/>
  <c r="H10" i="5"/>
  <c r="G10" i="5" s="1"/>
  <c r="H11" i="5"/>
  <c r="G11" i="5" s="1"/>
  <c r="H12" i="5"/>
  <c r="G12" i="5" s="1"/>
  <c r="H13" i="5"/>
  <c r="G13" i="5" s="1"/>
  <c r="H14" i="5"/>
  <c r="G14" i="5" s="1"/>
  <c r="H15" i="5"/>
  <c r="H16" i="5"/>
  <c r="G16" i="5" s="1"/>
  <c r="H17" i="5"/>
  <c r="G17" i="5" s="1"/>
  <c r="H18" i="5"/>
  <c r="G18" i="5" s="1"/>
  <c r="H19" i="5"/>
  <c r="G19" i="5" s="1"/>
  <c r="H20" i="5"/>
  <c r="G20" i="5" s="1"/>
  <c r="H21" i="5"/>
  <c r="G21" i="5" s="1"/>
  <c r="H22" i="5"/>
  <c r="G22" i="5" s="1"/>
  <c r="H23" i="5"/>
  <c r="G23" i="5" s="1"/>
  <c r="H24" i="5"/>
  <c r="G24" i="5" s="1"/>
  <c r="H25" i="5"/>
  <c r="G25" i="5" s="1"/>
  <c r="H27" i="5"/>
  <c r="G27" i="5" s="1"/>
  <c r="H28" i="5"/>
  <c r="G28" i="5" s="1"/>
  <c r="H29" i="5"/>
  <c r="G29" i="5" s="1"/>
  <c r="H30" i="5"/>
  <c r="G30" i="5" s="1"/>
  <c r="H31" i="5"/>
  <c r="G31" i="5" s="1"/>
  <c r="H32" i="5"/>
  <c r="G32" i="5" s="1"/>
  <c r="H33" i="5"/>
  <c r="G33" i="5" s="1"/>
  <c r="H34" i="5"/>
  <c r="H35" i="5"/>
  <c r="G35" i="5" s="1"/>
  <c r="H5" i="5"/>
  <c r="G5" i="5" s="1"/>
  <c r="R44" i="4" l="1"/>
  <c r="S39" i="4" s="1"/>
  <c r="R44" i="3"/>
  <c r="S39" i="3" s="1"/>
  <c r="G34" i="5"/>
  <c r="E18" i="5" l="1"/>
  <c r="I19" i="5"/>
  <c r="I16" i="5"/>
  <c r="E10" i="5"/>
  <c r="E8" i="5"/>
  <c r="E20" i="5"/>
  <c r="E27" i="5"/>
  <c r="E28" i="5"/>
  <c r="E25" i="5"/>
  <c r="E32" i="5"/>
  <c r="E31" i="5"/>
  <c r="E6" i="5"/>
  <c r="F6" i="5" s="1"/>
  <c r="E5" i="5"/>
  <c r="F5" i="5" s="1"/>
  <c r="E33" i="5"/>
  <c r="I33" i="5" s="1"/>
  <c r="E22" i="5"/>
  <c r="E30" i="5"/>
  <c r="E24" i="5"/>
  <c r="E9" i="5"/>
  <c r="E7" i="5"/>
  <c r="E29" i="5"/>
  <c r="E14" i="5"/>
  <c r="I14" i="5" s="1"/>
  <c r="E34" i="5"/>
  <c r="I34" i="5" s="1"/>
  <c r="E35" i="5"/>
  <c r="I35" i="5" s="1"/>
  <c r="E12" i="5"/>
  <c r="C9" i="1"/>
  <c r="Q42" i="2"/>
  <c r="Q44" i="2" s="1"/>
  <c r="P42" i="2"/>
  <c r="P44" i="2" s="1"/>
  <c r="O42" i="2"/>
  <c r="O44" i="2" s="1"/>
  <c r="N42" i="2"/>
  <c r="N44" i="2" s="1"/>
  <c r="M42" i="2"/>
  <c r="M44" i="2" s="1"/>
  <c r="L42" i="2"/>
  <c r="L44" i="2" s="1"/>
  <c r="K42" i="2"/>
  <c r="K44" i="2" s="1"/>
  <c r="J42" i="2"/>
  <c r="J44" i="2" s="1"/>
  <c r="I42" i="2"/>
  <c r="I44" i="2" s="1"/>
  <c r="H42" i="2"/>
  <c r="H44" i="2" s="1"/>
  <c r="G42" i="2"/>
  <c r="G44" i="2" s="1"/>
  <c r="F42" i="2"/>
  <c r="F44" i="2" s="1"/>
  <c r="E42" i="2"/>
  <c r="E44" i="2" s="1"/>
  <c r="D42" i="2"/>
  <c r="D44" i="2" s="1"/>
  <c r="D40" i="1" l="1"/>
  <c r="K37" i="1"/>
  <c r="J37" i="1"/>
  <c r="Q37" i="1"/>
  <c r="E23" i="5"/>
  <c r="F23" i="5" s="1"/>
  <c r="J23" i="5" s="1"/>
  <c r="I37" i="1"/>
  <c r="P37" i="1"/>
  <c r="H37" i="1"/>
  <c r="O37" i="1"/>
  <c r="G37" i="1"/>
  <c r="N37" i="1"/>
  <c r="F37" i="1"/>
  <c r="E37" i="1"/>
  <c r="C37" i="1"/>
  <c r="L37" i="1"/>
  <c r="D37" i="1"/>
  <c r="J39" i="1"/>
  <c r="N39" i="1"/>
  <c r="C40" i="1"/>
  <c r="G40" i="1"/>
  <c r="K40" i="1"/>
  <c r="O40" i="1"/>
  <c r="D41" i="1"/>
  <c r="L41" i="1"/>
  <c r="E42" i="1"/>
  <c r="I42" i="1"/>
  <c r="M42" i="1"/>
  <c r="F43" i="1"/>
  <c r="J43" i="1"/>
  <c r="N43" i="1"/>
  <c r="Q39" i="1"/>
  <c r="P42" i="1"/>
  <c r="Q43" i="1"/>
  <c r="H41" i="1"/>
  <c r="P41" i="1"/>
  <c r="Q42" i="1"/>
  <c r="E39" i="1"/>
  <c r="I39" i="1"/>
  <c r="M39" i="1"/>
  <c r="F40" i="1"/>
  <c r="J40" i="1"/>
  <c r="N40" i="1"/>
  <c r="C41" i="1"/>
  <c r="G41" i="1"/>
  <c r="K41" i="1"/>
  <c r="O41" i="1"/>
  <c r="D42" i="1"/>
  <c r="H42" i="1"/>
  <c r="L42" i="1"/>
  <c r="E43" i="1"/>
  <c r="M43" i="1"/>
  <c r="C39" i="1"/>
  <c r="P40" i="1"/>
  <c r="Q41" i="1"/>
  <c r="N42" i="1"/>
  <c r="P39" i="1"/>
  <c r="Q40" i="1"/>
  <c r="P43" i="1"/>
  <c r="G39" i="1"/>
  <c r="O39" i="1"/>
  <c r="H40" i="1"/>
  <c r="E41" i="1"/>
  <c r="J42" i="1"/>
  <c r="C43" i="1"/>
  <c r="K43" i="1"/>
  <c r="O43" i="1"/>
  <c r="K39" i="1"/>
  <c r="L40" i="1"/>
  <c r="M41" i="1"/>
  <c r="F42" i="1"/>
  <c r="G43" i="1"/>
  <c r="D39" i="1"/>
  <c r="H39" i="1"/>
  <c r="L39" i="1"/>
  <c r="E40" i="1"/>
  <c r="I40" i="1"/>
  <c r="M40" i="1"/>
  <c r="F41" i="1"/>
  <c r="J41" i="1"/>
  <c r="N41" i="1"/>
  <c r="C42" i="1"/>
  <c r="G42" i="1"/>
  <c r="K42" i="1"/>
  <c r="O42" i="1"/>
  <c r="D43" i="1"/>
  <c r="H43" i="1"/>
  <c r="L43" i="1"/>
  <c r="I41" i="1"/>
  <c r="F30" i="5"/>
  <c r="J30" i="5" s="1"/>
  <c r="I30" i="5"/>
  <c r="J5" i="5"/>
  <c r="K5" i="5" s="1"/>
  <c r="I5" i="5"/>
  <c r="I15" i="5"/>
  <c r="F39" i="1"/>
  <c r="F19" i="5"/>
  <c r="J19" i="5" s="1"/>
  <c r="F7" i="5"/>
  <c r="J7" i="5" s="1"/>
  <c r="I7" i="5"/>
  <c r="F25" i="5"/>
  <c r="J25" i="5" s="1"/>
  <c r="I25" i="5"/>
  <c r="F14" i="5"/>
  <c r="J14" i="5" s="1"/>
  <c r="F31" i="5"/>
  <c r="J31" i="5" s="1"/>
  <c r="I31" i="5"/>
  <c r="F8" i="5"/>
  <c r="J8" i="5" s="1"/>
  <c r="I8" i="5"/>
  <c r="F29" i="5"/>
  <c r="J29" i="5" s="1"/>
  <c r="I29" i="5"/>
  <c r="F20" i="5"/>
  <c r="J20" i="5" s="1"/>
  <c r="I20" i="5"/>
  <c r="I43" i="1"/>
  <c r="J6" i="5"/>
  <c r="I6" i="5"/>
  <c r="F22" i="5"/>
  <c r="J22" i="5" s="1"/>
  <c r="K22" i="5" s="1"/>
  <c r="I22" i="5"/>
  <c r="F9" i="5"/>
  <c r="J9" i="5" s="1"/>
  <c r="I9" i="5"/>
  <c r="F24" i="5"/>
  <c r="J24" i="5" s="1"/>
  <c r="I24" i="5"/>
  <c r="F10" i="5"/>
  <c r="J10" i="5" s="1"/>
  <c r="I10" i="5"/>
  <c r="F13" i="5"/>
  <c r="J13" i="5" s="1"/>
  <c r="I13" i="5"/>
  <c r="F18" i="5"/>
  <c r="J18" i="5" s="1"/>
  <c r="I18" i="5"/>
  <c r="F27" i="5"/>
  <c r="J27" i="5" s="1"/>
  <c r="K27" i="5" s="1"/>
  <c r="I27" i="5"/>
  <c r="I12" i="5"/>
  <c r="F12" i="5"/>
  <c r="J12" i="5" s="1"/>
  <c r="F17" i="5"/>
  <c r="J17" i="5" s="1"/>
  <c r="I17" i="5"/>
  <c r="F11" i="5"/>
  <c r="J11" i="5" s="1"/>
  <c r="I11" i="5"/>
  <c r="F21" i="5"/>
  <c r="J21" i="5" s="1"/>
  <c r="I21" i="5"/>
  <c r="F32" i="5"/>
  <c r="J32" i="5" s="1"/>
  <c r="I32" i="5"/>
  <c r="F28" i="5"/>
  <c r="J28" i="5" s="1"/>
  <c r="I28" i="5"/>
  <c r="R41" i="2"/>
  <c r="F35" i="5"/>
  <c r="J35" i="5" s="1"/>
  <c r="K35" i="5" s="1"/>
  <c r="F33" i="5"/>
  <c r="J33" i="5" s="1"/>
  <c r="K33" i="5" s="1"/>
  <c r="F34" i="5"/>
  <c r="J34" i="5" s="1"/>
  <c r="K34" i="5" s="1"/>
  <c r="F16" i="5"/>
  <c r="J16" i="5" s="1"/>
  <c r="R40" i="2"/>
  <c r="R43" i="2"/>
  <c r="R42" i="2"/>
  <c r="I23" i="5" l="1"/>
  <c r="R44" i="2"/>
  <c r="S39" i="2" s="1"/>
  <c r="R39" i="1"/>
  <c r="R41" i="1"/>
  <c r="F15" i="5"/>
  <c r="J15" i="5" s="1"/>
  <c r="R43" i="1"/>
  <c r="R42" i="1"/>
  <c r="R40" i="1"/>
  <c r="E22" i="7"/>
  <c r="K22" i="7" s="1"/>
  <c r="J22" i="7" l="1"/>
  <c r="R6" i="1" l="1"/>
  <c r="H17" i="7" l="1"/>
  <c r="E27" i="7"/>
  <c r="I27" i="7" s="1"/>
  <c r="H14" i="7"/>
  <c r="E7" i="7"/>
  <c r="I7" i="7" s="1"/>
  <c r="G38" i="7"/>
  <c r="J38" i="7" s="1"/>
  <c r="F9" i="7"/>
  <c r="K9" i="7" s="1"/>
  <c r="H8" i="7"/>
  <c r="G37" i="7"/>
  <c r="J37" i="7" s="1"/>
  <c r="E32" i="7"/>
  <c r="F13" i="7"/>
  <c r="K13" i="7" s="1"/>
  <c r="F29" i="7"/>
  <c r="K29" i="7" s="1"/>
  <c r="F31" i="7"/>
  <c r="K31" i="7" s="1"/>
  <c r="F24" i="7"/>
  <c r="K24" i="7" s="1"/>
  <c r="F30" i="7"/>
  <c r="K30" i="7" s="1"/>
  <c r="F18" i="7" l="1"/>
  <c r="K18" i="7" s="1"/>
  <c r="F6" i="7"/>
  <c r="K6" i="7" s="1"/>
  <c r="K14" i="7"/>
  <c r="I14" i="7"/>
  <c r="K32" i="7"/>
  <c r="I32" i="7"/>
  <c r="E5" i="7"/>
  <c r="I8" i="7"/>
  <c r="K8" i="7"/>
  <c r="K17" i="7"/>
  <c r="I17" i="7"/>
  <c r="K32" i="5"/>
  <c r="K31" i="5"/>
  <c r="E36" i="7"/>
  <c r="I36" i="7" s="1"/>
  <c r="E34" i="7"/>
  <c r="I34" i="7" s="1"/>
  <c r="K29" i="5"/>
  <c r="E33" i="7"/>
  <c r="I33" i="7" s="1"/>
  <c r="K28" i="5"/>
  <c r="K25" i="5"/>
  <c r="K27" i="7"/>
  <c r="K17" i="5"/>
  <c r="K14" i="5"/>
  <c r="K13" i="5"/>
  <c r="K9" i="5"/>
  <c r="K8" i="5"/>
  <c r="K7" i="5"/>
  <c r="K7" i="7"/>
  <c r="K6" i="5"/>
  <c r="F19" i="7"/>
  <c r="K19" i="7" s="1"/>
  <c r="F12" i="7"/>
  <c r="K12" i="7" s="1"/>
  <c r="F35" i="7"/>
  <c r="K35" i="7" s="1"/>
  <c r="E23" i="7"/>
  <c r="G21" i="7"/>
  <c r="J21" i="7" s="1"/>
  <c r="F10" i="7"/>
  <c r="K10" i="7" s="1"/>
  <c r="G11" i="7"/>
  <c r="E25" i="7"/>
  <c r="P44" i="1" l="1"/>
  <c r="F44" i="1"/>
  <c r="H44" i="1"/>
  <c r="K18" i="5"/>
  <c r="C44" i="1"/>
  <c r="Q44" i="1"/>
  <c r="K23" i="7"/>
  <c r="I23" i="7"/>
  <c r="F26" i="7"/>
  <c r="E26" i="7"/>
  <c r="K26" i="7" s="1"/>
  <c r="K20" i="5"/>
  <c r="G20" i="7"/>
  <c r="J20" i="7" s="1"/>
  <c r="K24" i="5"/>
  <c r="E28" i="7"/>
  <c r="N44" i="1"/>
  <c r="K5" i="7"/>
  <c r="I5" i="7"/>
  <c r="J25" i="7"/>
  <c r="K25" i="7"/>
  <c r="K16" i="5"/>
  <c r="G16" i="7"/>
  <c r="J11" i="7"/>
  <c r="O44" i="1"/>
  <c r="L44" i="1"/>
  <c r="K36" i="7"/>
  <c r="K30" i="5"/>
  <c r="K34" i="7"/>
  <c r="K33" i="7"/>
  <c r="K44" i="1"/>
  <c r="E44" i="1"/>
  <c r="K23" i="5"/>
  <c r="K21" i="5"/>
  <c r="K19" i="5"/>
  <c r="G15" i="7"/>
  <c r="K12" i="5"/>
  <c r="K11" i="5"/>
  <c r="K15" i="5"/>
  <c r="K10" i="5"/>
  <c r="L38" i="1"/>
  <c r="D44" i="1"/>
  <c r="G44" i="1"/>
  <c r="J44" i="1"/>
  <c r="I44" i="1"/>
  <c r="C38" i="1"/>
  <c r="M44" i="1"/>
  <c r="H38" i="1"/>
  <c r="I16" i="7" l="1"/>
  <c r="K16" i="7"/>
  <c r="J15" i="7"/>
  <c r="S39" i="1"/>
  <c r="R44" i="1"/>
</calcChain>
</file>

<file path=xl/sharedStrings.xml><?xml version="1.0" encoding="utf-8"?>
<sst xmlns="http://schemas.openxmlformats.org/spreadsheetml/2006/main" count="350" uniqueCount="113">
  <si>
    <t>PROCESO DE COMERCIALIZACIÓN
ORDEN PEDIDO DE HUEVO</t>
  </si>
  <si>
    <t>CÓDIGO</t>
  </si>
  <si>
    <t>VERSIÓN</t>
  </si>
  <si>
    <t>FECHA</t>
  </si>
  <si>
    <t>PAGINA</t>
  </si>
  <si>
    <t>CLIENTE:</t>
  </si>
  <si>
    <t>FECHA DE PEDIDO:</t>
  </si>
  <si>
    <t>LOTE</t>
  </si>
  <si>
    <t>REF.</t>
  </si>
  <si>
    <t>ESTUCHE</t>
  </si>
  <si>
    <t>VITAFILM</t>
  </si>
  <si>
    <t>AMARRADO</t>
  </si>
  <si>
    <t>SUELTO</t>
  </si>
  <si>
    <t>OBSERVACIONES</t>
  </si>
  <si>
    <t>MARCA ORO</t>
  </si>
  <si>
    <t>AAAA</t>
  </si>
  <si>
    <t>AAA</t>
  </si>
  <si>
    <t>AA</t>
  </si>
  <si>
    <t>A</t>
  </si>
  <si>
    <t>B</t>
  </si>
  <si>
    <t>C</t>
  </si>
  <si>
    <t>PLUS</t>
  </si>
  <si>
    <t>CAMPESINO</t>
  </si>
  <si>
    <t>KOSHER</t>
  </si>
  <si>
    <t>AA-A</t>
  </si>
  <si>
    <t>DHA</t>
  </si>
  <si>
    <t>SELENIO</t>
  </si>
  <si>
    <t>JUNIOR</t>
  </si>
  <si>
    <t>TAEQ</t>
  </si>
  <si>
    <t>OXXO</t>
  </si>
  <si>
    <t>TOTALES</t>
  </si>
  <si>
    <t>TOTAL</t>
  </si>
  <si>
    <t>FECHA DE ENTREGA</t>
  </si>
  <si>
    <t>RESPONSABLE DESPACHO</t>
  </si>
  <si>
    <t>CONDUCTOR / AYUDANTE</t>
  </si>
  <si>
    <t>MATERIAL</t>
  </si>
  <si>
    <t>REFERENCIA</t>
  </si>
  <si>
    <t>CAMPESINO TERMOENCOGIDO ORO X 30</t>
  </si>
  <si>
    <t>CAMPESINO X12</t>
  </si>
  <si>
    <t>JUNIOR X 30</t>
  </si>
  <si>
    <t>HUEVO ORO ROJO TIPO A X 30 TERMOENCOGIDO</t>
  </si>
  <si>
    <t>HUEVO ORO SELENIO ORGANICO X 12 UND</t>
  </si>
  <si>
    <t>HUEVOS ORO A X 12 ESTUCHE</t>
  </si>
  <si>
    <t>HUEVOS ORO A X 30 AMARRADO</t>
  </si>
  <si>
    <t>HUEVOS ORO A X 6 ESTUCHE</t>
  </si>
  <si>
    <t>HUEVOS ORO AA X 12 ESTUCHE</t>
  </si>
  <si>
    <t>HUEVOS ORO AA X 15 TERMOENCOGIDO</t>
  </si>
  <si>
    <t>HUEVOS ORO AA X 30 AMARRADO</t>
  </si>
  <si>
    <t>HUEVOS ORO AA X 30 TERMOENCOGIDO</t>
  </si>
  <si>
    <t>HUEVOS ORO AA X 6 ESTUCHE</t>
  </si>
  <si>
    <t>HUEVOS ORO AAA X 12 ESTUCHE</t>
  </si>
  <si>
    <t>HUEVOS ORO AAA X 30 AMARRADO</t>
  </si>
  <si>
    <t>HUEVOS ORO B X 30 AMARRADO</t>
  </si>
  <si>
    <t>CAMPESINO TERMOENCOGIDO ORO X 15</t>
  </si>
  <si>
    <t>HUEVO ORO KOSHER X 12 UND</t>
  </si>
  <si>
    <t>HUEVOS ORO PLUS X 20</t>
  </si>
  <si>
    <t>HUEVOS ORO DHA X 12 UND</t>
  </si>
  <si>
    <t>HUEVOS ORO PLUS AAA X 30</t>
  </si>
  <si>
    <t>HUEVOS ORO AA AMARRADO X 60</t>
  </si>
  <si>
    <t>HUEVOS ORO PLUS AAA X 12 ESTUCHE  </t>
  </si>
  <si>
    <t>HUEVOS ORO PLUS AAA X 15</t>
  </si>
  <si>
    <t>TAEQ  AA X 15  ESTUCHE</t>
  </si>
  <si>
    <t>CAMPESINO TERMOENCOGIDO ORO X 60</t>
  </si>
  <si>
    <t>HUEVO ORO KOSHER X 30 UND</t>
  </si>
  <si>
    <t>HUEVOS ORO PLUS AA X 30</t>
  </si>
  <si>
    <t>HUEVOS ORO AA PLUS CRISTAL X 15</t>
  </si>
  <si>
    <t>CAMPESINO TERMOENCOGIDO ORO A X 30</t>
  </si>
  <si>
    <t>HUEVOS ORO ROTO LIMPIO X 30 LBS</t>
  </si>
  <si>
    <t>F-CD-04</t>
  </si>
  <si>
    <t>1 DE 1</t>
  </si>
  <si>
    <t>HUEVOS ORO AA X 30 AMARRADO OXXO</t>
  </si>
  <si>
    <t>CANTIDAD</t>
  </si>
  <si>
    <t>NOTIFICADO</t>
  </si>
  <si>
    <t>PRODUCCION</t>
  </si>
  <si>
    <t>NOTIFICAR</t>
  </si>
  <si>
    <t>TAT</t>
  </si>
  <si>
    <t>HUEVOS A X 30 AMARRADO OLIMPICA</t>
  </si>
  <si>
    <t>HUEVOS B X 30 AMARRADO OLIMPICA</t>
  </si>
  <si>
    <t>OLIMPICA</t>
  </si>
  <si>
    <t>SOLAPA</t>
  </si>
  <si>
    <t>CAJA</t>
  </si>
  <si>
    <t>ANILLO</t>
  </si>
  <si>
    <t>COLLARIN</t>
  </si>
  <si>
    <t>CENEFA</t>
  </si>
  <si>
    <t>SEPARADOR CAJA</t>
  </si>
  <si>
    <t>LAMINA</t>
  </si>
  <si>
    <t>TIPO</t>
  </si>
  <si>
    <t>NECESIDAD BANDEJA</t>
  </si>
  <si>
    <t>NECESIDAD UNIDADES</t>
  </si>
  <si>
    <t>FISICO BANDEJAS</t>
  </si>
  <si>
    <t>FISICO UNIDADES</t>
  </si>
  <si>
    <t>PRODUCIR BANDEJAS</t>
  </si>
  <si>
    <t>PRODUCIR UNIDADES</t>
  </si>
  <si>
    <t>CAMPESINO TERMO ORO AAx30</t>
  </si>
  <si>
    <t>HUEVO ORO SELENIO X 12 UND</t>
  </si>
  <si>
    <t>CAMPESINO TERMO ORO A X 30</t>
  </si>
  <si>
    <t>HUEVO ORO TIPO A X 30 TERMO</t>
  </si>
  <si>
    <t>HUEVOS ORO AA X 15 TERMO</t>
  </si>
  <si>
    <t>HUEVOS ORO AA X 30 TERMO</t>
  </si>
  <si>
    <t>CAMPESINO TERMO ORO X 15</t>
  </si>
  <si>
    <t>HUEVOS PLUS AAA X 12 ESTUCHE  </t>
  </si>
  <si>
    <t>HUEVOS AA PLUS CRISTAL X 15</t>
  </si>
  <si>
    <t>B X 30 AMARRADO OLIMPICA</t>
  </si>
  <si>
    <t>A X 30 AMARRADO OLIMPICA</t>
  </si>
  <si>
    <t>MAKRO</t>
  </si>
  <si>
    <t>ATA</t>
  </si>
  <si>
    <t>HUEVOS ORO B X 60 AMARRADO</t>
  </si>
  <si>
    <t>HUEVOS ORO PLUS AA X 18</t>
  </si>
  <si>
    <t>A ROJO AMARRADO X 60 M&amp;C O</t>
  </si>
  <si>
    <t>A ROJO X 30 AMARRADO M&amp;C O</t>
  </si>
  <si>
    <t>AA ROJO X 30 AMARRADO ARO O</t>
  </si>
  <si>
    <t>B ROJO X 30 AMARRADO M&amp;C O</t>
  </si>
  <si>
    <t>AAA ROJO TRMFO ARO X 30UND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</si>
</sst>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[Red]\-#,##0\ "/>
    <numFmt numFmtId="165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i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43" fontId="21" fillId="0" borderId="0" applyFont="0" applyFill="0" applyBorder="0" applyAlignment="0" applyProtection="0"/>
  </cellStyleXfs>
  <cellXfs count="184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3" fillId="3" borderId="10" xfId="2" applyFont="1" applyFill="1" applyBorder="1" applyAlignment="1">
      <alignment vertical="center" wrapText="1"/>
    </xf>
    <xf numFmtId="0" fontId="6" fillId="3" borderId="11" xfId="2" applyFont="1" applyFill="1" applyBorder="1" applyAlignment="1">
      <alignment horizontal="center" vertical="center" wrapText="1"/>
    </xf>
    <xf numFmtId="16" fontId="7" fillId="3" borderId="11" xfId="2" applyNumberFormat="1" applyFont="1" applyFill="1" applyBorder="1" applyAlignment="1">
      <alignment vertical="center" wrapText="1"/>
    </xf>
    <xf numFmtId="3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3" borderId="0" xfId="2" applyFont="1" applyFill="1" applyAlignment="1">
      <alignment horizontal="center" vertical="center" wrapText="1"/>
    </xf>
    <xf numFmtId="3" fontId="4" fillId="0" borderId="0" xfId="1" applyNumberFormat="1" applyFont="1"/>
    <xf numFmtId="0" fontId="3" fillId="3" borderId="24" xfId="2" applyFont="1" applyFill="1" applyBorder="1" applyAlignment="1">
      <alignment vertical="center" wrapText="1"/>
    </xf>
    <xf numFmtId="0" fontId="6" fillId="3" borderId="0" xfId="2" applyFont="1" applyFill="1" applyAlignment="1">
      <alignment vertical="center" wrapText="1"/>
    </xf>
    <xf numFmtId="0" fontId="6" fillId="3" borderId="29" xfId="2" applyFont="1" applyFill="1" applyBorder="1" applyAlignment="1">
      <alignment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 vertical="center" wrapText="1"/>
    </xf>
    <xf numFmtId="14" fontId="6" fillId="3" borderId="6" xfId="2" applyNumberFormat="1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7" borderId="2" xfId="0" applyFill="1" applyBorder="1"/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3" fontId="8" fillId="5" borderId="25" xfId="2" applyNumberFormat="1" applyFont="1" applyFill="1" applyBorder="1" applyAlignment="1">
      <alignment horizontal="center" vertical="center" wrapText="1"/>
    </xf>
    <xf numFmtId="0" fontId="4" fillId="0" borderId="23" xfId="1" applyFont="1" applyBorder="1"/>
    <xf numFmtId="0" fontId="4" fillId="0" borderId="6" xfId="1" applyFont="1" applyBorder="1"/>
    <xf numFmtId="0" fontId="4" fillId="0" borderId="26" xfId="1" applyFont="1" applyBorder="1"/>
    <xf numFmtId="0" fontId="13" fillId="2" borderId="12" xfId="2" applyFont="1" applyFill="1" applyBorder="1" applyAlignment="1">
      <alignment horizontal="center" vertical="center" wrapText="1"/>
    </xf>
    <xf numFmtId="0" fontId="15" fillId="4" borderId="13" xfId="2" applyFont="1" applyFill="1" applyBorder="1" applyAlignment="1">
      <alignment horizontal="center" vertical="center" wrapText="1"/>
    </xf>
    <xf numFmtId="0" fontId="14" fillId="4" borderId="4" xfId="2" applyFont="1" applyFill="1" applyBorder="1" applyAlignment="1">
      <alignment horizontal="center" vertical="center" wrapText="1"/>
    </xf>
    <xf numFmtId="0" fontId="14" fillId="4" borderId="5" xfId="2" applyFont="1" applyFill="1" applyBorder="1" applyAlignment="1">
      <alignment horizontal="center" vertical="center" wrapText="1"/>
    </xf>
    <xf numFmtId="0" fontId="14" fillId="4" borderId="6" xfId="2" applyFont="1" applyFill="1" applyBorder="1" applyAlignment="1">
      <alignment horizontal="center" vertical="center" wrapText="1"/>
    </xf>
    <xf numFmtId="0" fontId="14" fillId="4" borderId="14" xfId="2" applyFont="1" applyFill="1" applyBorder="1" applyAlignment="1">
      <alignment horizontal="center" vertical="center" wrapText="1"/>
    </xf>
    <xf numFmtId="3" fontId="16" fillId="0" borderId="4" xfId="2" applyNumberFormat="1" applyFont="1" applyBorder="1" applyAlignment="1">
      <alignment horizontal="center" vertical="center" wrapText="1"/>
    </xf>
    <xf numFmtId="3" fontId="16" fillId="0" borderId="35" xfId="2" applyNumberFormat="1" applyFont="1" applyBorder="1" applyAlignment="1">
      <alignment horizontal="center" vertical="center" wrapText="1"/>
    </xf>
    <xf numFmtId="3" fontId="16" fillId="6" borderId="20" xfId="2" applyNumberFormat="1" applyFont="1" applyFill="1" applyBorder="1" applyAlignment="1">
      <alignment horizontal="center" vertical="center" wrapText="1"/>
    </xf>
    <xf numFmtId="3" fontId="11" fillId="5" borderId="7" xfId="2" applyNumberFormat="1" applyFont="1" applyFill="1" applyBorder="1" applyAlignment="1">
      <alignment horizontal="center" vertical="center" wrapText="1"/>
    </xf>
    <xf numFmtId="3" fontId="20" fillId="0" borderId="5" xfId="2" applyNumberFormat="1" applyFont="1" applyBorder="1" applyAlignment="1">
      <alignment horizontal="center" vertical="center" wrapText="1"/>
    </xf>
    <xf numFmtId="0" fontId="6" fillId="2" borderId="32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15" xfId="0" applyBorder="1"/>
    <xf numFmtId="3" fontId="0" fillId="0" borderId="15" xfId="0" applyNumberFormat="1" applyBorder="1"/>
    <xf numFmtId="0" fontId="6" fillId="3" borderId="19" xfId="2" applyFont="1" applyFill="1" applyBorder="1" applyAlignment="1">
      <alignment horizontal="center" vertical="center" wrapText="1"/>
    </xf>
    <xf numFmtId="3" fontId="19" fillId="6" borderId="5" xfId="2" applyNumberFormat="1" applyFont="1" applyFill="1" applyBorder="1" applyAlignment="1">
      <alignment horizontal="center" vertical="center" wrapText="1"/>
    </xf>
    <xf numFmtId="0" fontId="6" fillId="3" borderId="30" xfId="2" applyFont="1" applyFill="1" applyBorder="1" applyAlignment="1">
      <alignment horizontal="center" vertical="center" wrapText="1"/>
    </xf>
    <xf numFmtId="3" fontId="14" fillId="2" borderId="4" xfId="2" applyNumberFormat="1" applyFont="1" applyFill="1" applyBorder="1" applyAlignment="1">
      <alignment horizontal="center" vertical="center" wrapText="1"/>
    </xf>
    <xf numFmtId="3" fontId="14" fillId="2" borderId="6" xfId="2" applyNumberFormat="1" applyFont="1" applyFill="1" applyBorder="1" applyAlignment="1">
      <alignment horizontal="center" vertical="center" wrapText="1"/>
    </xf>
    <xf numFmtId="3" fontId="14" fillId="2" borderId="14" xfId="2" applyNumberFormat="1" applyFont="1" applyFill="1" applyBorder="1" applyAlignment="1">
      <alignment horizontal="center" vertical="center" wrapText="1"/>
    </xf>
    <xf numFmtId="0" fontId="0" fillId="0" borderId="24" xfId="0" applyBorder="1"/>
    <xf numFmtId="0" fontId="6" fillId="2" borderId="32" xfId="2" applyFont="1" applyFill="1" applyBorder="1" applyAlignment="1" applyProtection="1">
      <alignment horizontal="center" vertical="center" wrapText="1"/>
      <protection locked="0"/>
    </xf>
    <xf numFmtId="0" fontId="6" fillId="2" borderId="18" xfId="2" applyFont="1" applyFill="1" applyBorder="1" applyAlignment="1" applyProtection="1">
      <alignment horizontal="center" vertical="center" wrapText="1"/>
      <protection locked="0"/>
    </xf>
    <xf numFmtId="164" fontId="14" fillId="0" borderId="39" xfId="0" applyNumberFormat="1" applyFont="1" applyBorder="1" applyAlignment="1" applyProtection="1">
      <alignment horizontal="right"/>
      <protection hidden="1"/>
    </xf>
    <xf numFmtId="0" fontId="22" fillId="0" borderId="1" xfId="0" applyFont="1" applyBorder="1" applyAlignment="1" applyProtection="1">
      <alignment horizontal="left"/>
      <protection hidden="1"/>
    </xf>
    <xf numFmtId="0" fontId="22" fillId="0" borderId="4" xfId="0" applyFont="1" applyBorder="1" applyAlignment="1" applyProtection="1">
      <alignment horizontal="left"/>
      <protection hidden="1"/>
    </xf>
    <xf numFmtId="0" fontId="22" fillId="8" borderId="4" xfId="0" applyFont="1" applyFill="1" applyBorder="1" applyAlignment="1" applyProtection="1">
      <alignment horizontal="left"/>
      <protection hidden="1"/>
    </xf>
    <xf numFmtId="0" fontId="22" fillId="0" borderId="4" xfId="0" applyFont="1" applyBorder="1" applyAlignment="1" applyProtection="1">
      <alignment horizontal="left"/>
      <protection locked="0" hidden="1"/>
    </xf>
    <xf numFmtId="164" fontId="14" fillId="0" borderId="14" xfId="0" applyNumberFormat="1" applyFont="1" applyBorder="1" applyAlignment="1" applyProtection="1">
      <alignment horizontal="right"/>
      <protection hidden="1"/>
    </xf>
    <xf numFmtId="3" fontId="0" fillId="4" borderId="5" xfId="0" applyNumberFormat="1" applyFill="1" applyBorder="1"/>
    <xf numFmtId="0" fontId="0" fillId="4" borderId="5" xfId="0" applyFill="1" applyBorder="1"/>
    <xf numFmtId="165" fontId="0" fillId="0" borderId="5" xfId="3" applyNumberFormat="1" applyFont="1" applyBorder="1" applyAlignment="1">
      <alignment horizontal="right"/>
    </xf>
    <xf numFmtId="165" fontId="0" fillId="0" borderId="5" xfId="3" applyNumberFormat="1" applyFont="1" applyFill="1" applyBorder="1" applyAlignment="1">
      <alignment horizontal="right"/>
    </xf>
    <xf numFmtId="0" fontId="0" fillId="0" borderId="0" xfId="0" applyAlignment="1">
      <alignment horizontal="center" wrapText="1"/>
    </xf>
    <xf numFmtId="0" fontId="22" fillId="0" borderId="0" xfId="0" applyFont="1"/>
    <xf numFmtId="0" fontId="1" fillId="7" borderId="5" xfId="0" applyFont="1" applyFill="1" applyBorder="1" applyAlignment="1" applyProtection="1">
      <alignment horizontal="center" vertical="center" wrapText="1"/>
      <protection locked="0"/>
    </xf>
    <xf numFmtId="0" fontId="1" fillId="4" borderId="5" xfId="0" applyFont="1" applyFill="1" applyBorder="1" applyAlignment="1" applyProtection="1">
      <alignment horizontal="center" wrapText="1"/>
      <protection locked="0"/>
    </xf>
    <xf numFmtId="0" fontId="1" fillId="7" borderId="5" xfId="0" applyFont="1" applyFill="1" applyBorder="1" applyAlignment="1" applyProtection="1">
      <alignment horizontal="center" wrapText="1"/>
      <protection locked="0"/>
    </xf>
    <xf numFmtId="3" fontId="14" fillId="2" borderId="40" xfId="2" applyNumberFormat="1" applyFont="1" applyFill="1" applyBorder="1" applyAlignment="1">
      <alignment horizontal="center" vertical="center" wrapText="1"/>
    </xf>
    <xf numFmtId="0" fontId="12" fillId="3" borderId="4" xfId="2" applyFont="1" applyFill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 wrapText="1"/>
    </xf>
    <xf numFmtId="0" fontId="15" fillId="4" borderId="4" xfId="2" applyFont="1" applyFill="1" applyBorder="1" applyAlignment="1">
      <alignment horizontal="center" vertical="center" wrapText="1"/>
    </xf>
    <xf numFmtId="0" fontId="15" fillId="4" borderId="5" xfId="2" applyFont="1" applyFill="1" applyBorder="1" applyAlignment="1">
      <alignment horizontal="center" vertical="center" wrapText="1"/>
    </xf>
    <xf numFmtId="0" fontId="15" fillId="4" borderId="6" xfId="2" applyFont="1" applyFill="1" applyBorder="1" applyAlignment="1">
      <alignment horizontal="center" vertical="center" wrapText="1"/>
    </xf>
    <xf numFmtId="0" fontId="15" fillId="4" borderId="14" xfId="2" applyFont="1" applyFill="1" applyBorder="1" applyAlignment="1">
      <alignment horizontal="center" vertical="center" wrapText="1"/>
    </xf>
    <xf numFmtId="0" fontId="23" fillId="3" borderId="4" xfId="2" applyFont="1" applyFill="1" applyBorder="1" applyAlignment="1">
      <alignment horizontal="center" vertical="center" wrapText="1"/>
    </xf>
    <xf numFmtId="0" fontId="15" fillId="2" borderId="12" xfId="2" applyFont="1" applyFill="1" applyBorder="1" applyAlignment="1">
      <alignment horizontal="center" vertical="center" wrapText="1"/>
    </xf>
    <xf numFmtId="3" fontId="24" fillId="4" borderId="4" xfId="2" applyNumberFormat="1" applyFont="1" applyFill="1" applyBorder="1" applyAlignment="1">
      <alignment horizontal="center" vertical="center" wrapText="1"/>
    </xf>
    <xf numFmtId="0" fontId="23" fillId="0" borderId="12" xfId="1" applyFont="1" applyBorder="1" applyAlignment="1">
      <alignment horizontal="center" vertical="center"/>
    </xf>
    <xf numFmtId="0" fontId="15" fillId="2" borderId="4" xfId="2" applyFont="1" applyFill="1" applyBorder="1" applyAlignment="1">
      <alignment horizontal="center" vertical="center" wrapText="1"/>
    </xf>
    <xf numFmtId="0" fontId="15" fillId="3" borderId="4" xfId="2" applyFont="1" applyFill="1" applyBorder="1" applyAlignment="1">
      <alignment horizontal="center" vertical="center" wrapText="1"/>
    </xf>
    <xf numFmtId="3" fontId="19" fillId="5" borderId="7" xfId="2" applyNumberFormat="1" applyFont="1" applyFill="1" applyBorder="1" applyAlignment="1">
      <alignment horizontal="center" vertical="center" wrapText="1"/>
    </xf>
    <xf numFmtId="3" fontId="19" fillId="5" borderId="25" xfId="2" applyNumberFormat="1" applyFont="1" applyFill="1" applyBorder="1" applyAlignment="1">
      <alignment horizontal="center" vertical="center" wrapText="1"/>
    </xf>
    <xf numFmtId="3" fontId="24" fillId="6" borderId="20" xfId="2" applyNumberFormat="1" applyFont="1" applyFill="1" applyBorder="1" applyAlignment="1">
      <alignment horizontal="center" vertical="center" wrapText="1"/>
    </xf>
    <xf numFmtId="3" fontId="24" fillId="6" borderId="31" xfId="2" applyNumberFormat="1" applyFont="1" applyFill="1" applyBorder="1" applyAlignment="1">
      <alignment horizontal="center" vertical="center" wrapText="1"/>
    </xf>
    <xf numFmtId="0" fontId="15" fillId="3" borderId="40" xfId="2" applyFont="1" applyFill="1" applyBorder="1" applyAlignment="1">
      <alignment horizontal="center" vertical="center" wrapText="1"/>
    </xf>
    <xf numFmtId="0" fontId="15" fillId="3" borderId="41" xfId="2" applyFont="1" applyFill="1" applyBorder="1" applyAlignment="1">
      <alignment horizontal="center" vertical="center" wrapText="1"/>
    </xf>
    <xf numFmtId="0" fontId="15" fillId="3" borderId="20" xfId="2" applyFont="1" applyFill="1" applyBorder="1" applyAlignment="1">
      <alignment horizontal="center" vertical="center" wrapText="1"/>
    </xf>
    <xf numFmtId="43" fontId="15" fillId="3" borderId="40" xfId="3" applyFont="1" applyFill="1" applyBorder="1" applyAlignment="1">
      <alignment horizontal="center" vertical="center" wrapText="1"/>
    </xf>
    <xf numFmtId="43" fontId="15" fillId="3" borderId="41" xfId="3" applyFont="1" applyFill="1" applyBorder="1" applyAlignment="1">
      <alignment horizontal="center" vertical="center" wrapText="1"/>
    </xf>
    <xf numFmtId="43" fontId="15" fillId="3" borderId="20" xfId="3" applyFont="1" applyFill="1" applyBorder="1" applyAlignment="1">
      <alignment horizontal="center" vertical="center" wrapText="1"/>
    </xf>
    <xf numFmtId="0" fontId="23" fillId="3" borderId="40" xfId="2" applyFont="1" applyFill="1" applyBorder="1" applyAlignment="1">
      <alignment horizontal="center" vertical="center" wrapText="1"/>
    </xf>
    <xf numFmtId="0" fontId="23" fillId="3" borderId="20" xfId="2" applyFont="1" applyFill="1" applyBorder="1" applyAlignment="1">
      <alignment horizontal="center" vertical="center" wrapText="1"/>
    </xf>
    <xf numFmtId="0" fontId="23" fillId="2" borderId="40" xfId="2" applyFont="1" applyFill="1" applyBorder="1" applyAlignment="1">
      <alignment horizontal="center" vertical="center" wrapText="1"/>
    </xf>
    <xf numFmtId="0" fontId="23" fillId="2" borderId="20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" borderId="2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15" fillId="3" borderId="2" xfId="2" applyFont="1" applyFill="1" applyBorder="1" applyAlignment="1">
      <alignment horizontal="center" vertical="center" wrapText="1"/>
    </xf>
    <xf numFmtId="0" fontId="15" fillId="3" borderId="5" xfId="2" applyFont="1" applyFill="1" applyBorder="1" applyAlignment="1">
      <alignment horizontal="center" vertical="center" wrapText="1"/>
    </xf>
    <xf numFmtId="0" fontId="15" fillId="3" borderId="8" xfId="2" applyFont="1" applyFill="1" applyBorder="1" applyAlignment="1">
      <alignment horizontal="center" vertical="center" wrapText="1"/>
    </xf>
    <xf numFmtId="0" fontId="23" fillId="3" borderId="4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 wrapText="1"/>
    </xf>
    <xf numFmtId="0" fontId="7" fillId="3" borderId="10" xfId="2" applyFont="1" applyFill="1" applyBorder="1" applyAlignment="1">
      <alignment horizontal="left" vertical="center" wrapText="1"/>
    </xf>
    <xf numFmtId="0" fontId="7" fillId="3" borderId="11" xfId="2" applyFont="1" applyFill="1" applyBorder="1" applyAlignment="1">
      <alignment horizontal="left" vertical="center" wrapText="1"/>
    </xf>
    <xf numFmtId="0" fontId="23" fillId="4" borderId="4" xfId="2" applyFont="1" applyFill="1" applyBorder="1" applyAlignment="1">
      <alignment horizontal="center" vertical="center" wrapText="1"/>
    </xf>
    <xf numFmtId="0" fontId="15" fillId="4" borderId="12" xfId="2" applyFont="1" applyFill="1" applyBorder="1" applyAlignment="1">
      <alignment horizontal="center" vertical="center" wrapText="1"/>
    </xf>
    <xf numFmtId="0" fontId="19" fillId="5" borderId="4" xfId="2" applyFont="1" applyFill="1" applyBorder="1" applyAlignment="1">
      <alignment horizontal="center" vertical="center" wrapText="1"/>
    </xf>
    <xf numFmtId="0" fontId="19" fillId="5" borderId="12" xfId="2" applyFont="1" applyFill="1" applyBorder="1" applyAlignment="1">
      <alignment horizontal="center" vertical="center" wrapText="1"/>
    </xf>
    <xf numFmtId="3" fontId="19" fillId="5" borderId="20" xfId="2" applyNumberFormat="1" applyFont="1" applyFill="1" applyBorder="1" applyAlignment="1">
      <alignment horizontal="center" vertical="center" wrapText="1"/>
    </xf>
    <xf numFmtId="3" fontId="19" fillId="5" borderId="21" xfId="2" applyNumberFormat="1" applyFont="1" applyFill="1" applyBorder="1" applyAlignment="1">
      <alignment horizontal="center" vertical="center" wrapText="1"/>
    </xf>
    <xf numFmtId="3" fontId="19" fillId="5" borderId="22" xfId="2" applyNumberFormat="1" applyFont="1" applyFill="1" applyBorder="1" applyAlignment="1">
      <alignment horizontal="center" vertical="center" wrapText="1"/>
    </xf>
    <xf numFmtId="3" fontId="19" fillId="5" borderId="7" xfId="2" applyNumberFormat="1" applyFont="1" applyFill="1" applyBorder="1" applyAlignment="1">
      <alignment horizontal="center" vertical="center" wrapText="1"/>
    </xf>
    <xf numFmtId="3" fontId="19" fillId="5" borderId="8" xfId="2" applyNumberFormat="1" applyFont="1" applyFill="1" applyBorder="1" applyAlignment="1">
      <alignment horizontal="center" vertical="center" wrapText="1"/>
    </xf>
    <xf numFmtId="3" fontId="19" fillId="5" borderId="9" xfId="2" applyNumberFormat="1" applyFont="1" applyFill="1" applyBorder="1" applyAlignment="1">
      <alignment horizontal="center" vertical="center" wrapText="1"/>
    </xf>
    <xf numFmtId="0" fontId="24" fillId="4" borderId="4" xfId="2" applyFont="1" applyFill="1" applyBorder="1" applyAlignment="1">
      <alignment horizontal="center" vertical="center" wrapText="1"/>
    </xf>
    <xf numFmtId="0" fontId="24" fillId="4" borderId="12" xfId="2" applyFont="1" applyFill="1" applyBorder="1" applyAlignment="1">
      <alignment horizontal="center" vertical="center" wrapText="1"/>
    </xf>
    <xf numFmtId="0" fontId="24" fillId="4" borderId="18" xfId="2" applyFont="1" applyFill="1" applyBorder="1" applyAlignment="1">
      <alignment horizontal="center" vertical="center" wrapText="1"/>
    </xf>
    <xf numFmtId="0" fontId="19" fillId="6" borderId="20" xfId="2" applyFont="1" applyFill="1" applyBorder="1" applyAlignment="1">
      <alignment horizontal="center" vertical="center" wrapText="1"/>
    </xf>
    <xf numFmtId="0" fontId="19" fillId="6" borderId="17" xfId="2" applyFont="1" applyFill="1" applyBorder="1" applyAlignment="1">
      <alignment horizontal="center" vertical="center" wrapText="1"/>
    </xf>
    <xf numFmtId="3" fontId="18" fillId="0" borderId="37" xfId="1" applyNumberFormat="1" applyFont="1" applyBorder="1" applyAlignment="1">
      <alignment horizontal="center" vertical="center"/>
    </xf>
    <xf numFmtId="0" fontId="18" fillId="0" borderId="38" xfId="1" applyFont="1" applyBorder="1" applyAlignment="1">
      <alignment horizontal="center" vertical="center"/>
    </xf>
    <xf numFmtId="0" fontId="6" fillId="2" borderId="32" xfId="2" applyFont="1" applyFill="1" applyBorder="1" applyAlignment="1" applyProtection="1">
      <alignment horizontal="center" vertical="center" wrapText="1"/>
      <protection locked="0"/>
    </xf>
    <xf numFmtId="0" fontId="6" fillId="2" borderId="18" xfId="2" applyFont="1" applyFill="1" applyBorder="1" applyAlignment="1" applyProtection="1">
      <alignment horizontal="center" vertical="center" wrapText="1"/>
      <protection locked="0"/>
    </xf>
    <xf numFmtId="0" fontId="7" fillId="2" borderId="32" xfId="2" applyFont="1" applyFill="1" applyBorder="1" applyAlignment="1" applyProtection="1">
      <alignment horizontal="center" vertical="center" wrapText="1"/>
      <protection locked="0"/>
    </xf>
    <xf numFmtId="0" fontId="7" fillId="2" borderId="18" xfId="2" applyFont="1" applyFill="1" applyBorder="1" applyAlignment="1" applyProtection="1">
      <alignment horizontal="center" vertical="center" wrapText="1"/>
      <protection locked="0"/>
    </xf>
    <xf numFmtId="0" fontId="15" fillId="4" borderId="16" xfId="2" applyFont="1" applyFill="1" applyBorder="1" applyAlignment="1">
      <alignment horizontal="center" vertical="center" wrapText="1"/>
    </xf>
    <xf numFmtId="0" fontId="15" fillId="4" borderId="33" xfId="2" applyFont="1" applyFill="1" applyBorder="1" applyAlignment="1">
      <alignment horizontal="center" vertical="center" wrapText="1"/>
    </xf>
    <xf numFmtId="0" fontId="15" fillId="4" borderId="19" xfId="2" applyFont="1" applyFill="1" applyBorder="1" applyAlignment="1">
      <alignment horizontal="center" vertical="center" wrapText="1"/>
    </xf>
    <xf numFmtId="0" fontId="15" fillId="4" borderId="28" xfId="2" applyFont="1" applyFill="1" applyBorder="1" applyAlignment="1">
      <alignment horizontal="center" vertical="center" wrapText="1"/>
    </xf>
    <xf numFmtId="3" fontId="8" fillId="5" borderId="32" xfId="2" applyNumberFormat="1" applyFont="1" applyFill="1" applyBorder="1" applyAlignment="1">
      <alignment horizontal="center" vertical="center" wrapText="1"/>
    </xf>
    <xf numFmtId="3" fontId="8" fillId="5" borderId="18" xfId="2" applyNumberFormat="1" applyFont="1" applyFill="1" applyBorder="1" applyAlignment="1">
      <alignment horizontal="center" vertical="center" wrapText="1"/>
    </xf>
    <xf numFmtId="0" fontId="15" fillId="4" borderId="34" xfId="2" applyFont="1" applyFill="1" applyBorder="1" applyAlignment="1">
      <alignment horizontal="center" vertical="center" wrapText="1"/>
    </xf>
    <xf numFmtId="0" fontId="15" fillId="4" borderId="36" xfId="2" applyFont="1" applyFill="1" applyBorder="1" applyAlignment="1">
      <alignment horizontal="center" vertical="center" wrapText="1"/>
    </xf>
    <xf numFmtId="0" fontId="15" fillId="4" borderId="39" xfId="2" applyFont="1" applyFill="1" applyBorder="1" applyAlignment="1">
      <alignment horizontal="center" vertical="center" wrapText="1"/>
    </xf>
    <xf numFmtId="0" fontId="1" fillId="2" borderId="40" xfId="2" applyFont="1" applyFill="1" applyBorder="1" applyAlignment="1">
      <alignment horizontal="center" vertical="center" wrapText="1"/>
    </xf>
    <xf numFmtId="0" fontId="1" fillId="2" borderId="20" xfId="2" applyFont="1" applyFill="1" applyBorder="1" applyAlignment="1">
      <alignment horizontal="center" vertical="center" wrapText="1"/>
    </xf>
    <xf numFmtId="0" fontId="12" fillId="3" borderId="40" xfId="2" applyFont="1" applyFill="1" applyBorder="1" applyAlignment="1">
      <alignment horizontal="center" vertical="center" wrapText="1"/>
    </xf>
    <xf numFmtId="0" fontId="12" fillId="3" borderId="20" xfId="2" applyFont="1" applyFill="1" applyBorder="1" applyAlignment="1">
      <alignment horizontal="center" vertical="center" wrapText="1"/>
    </xf>
    <xf numFmtId="0" fontId="12" fillId="3" borderId="41" xfId="2" applyFont="1" applyFill="1" applyBorder="1" applyAlignment="1">
      <alignment horizontal="center" vertical="center" wrapText="1"/>
    </xf>
    <xf numFmtId="43" fontId="12" fillId="3" borderId="40" xfId="3" applyFont="1" applyFill="1" applyBorder="1" applyAlignment="1">
      <alignment horizontal="center" vertical="center" wrapText="1"/>
    </xf>
    <xf numFmtId="43" fontId="12" fillId="3" borderId="41" xfId="3" applyFont="1" applyFill="1" applyBorder="1" applyAlignment="1">
      <alignment horizontal="center" vertical="center" wrapText="1"/>
    </xf>
    <xf numFmtId="43" fontId="12" fillId="3" borderId="20" xfId="3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3" fillId="4" borderId="4" xfId="2" applyFont="1" applyFill="1" applyBorder="1" applyAlignment="1">
      <alignment horizontal="center" vertical="center" wrapText="1"/>
    </xf>
    <xf numFmtId="0" fontId="7" fillId="4" borderId="12" xfId="2" applyFont="1" applyFill="1" applyBorder="1" applyAlignment="1">
      <alignment horizontal="center" vertical="center" wrapText="1"/>
    </xf>
    <xf numFmtId="0" fontId="1" fillId="3" borderId="4" xfId="2" applyFont="1" applyFill="1" applyBorder="1" applyAlignment="1">
      <alignment horizontal="center" vertical="center" wrapText="1"/>
    </xf>
    <xf numFmtId="0" fontId="6" fillId="2" borderId="32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7" fillId="2" borderId="32" xfId="2" applyFont="1" applyFill="1" applyBorder="1" applyAlignment="1">
      <alignment horizontal="center" vertical="center" wrapText="1"/>
    </xf>
    <xf numFmtId="0" fontId="7" fillId="2" borderId="18" xfId="2" applyFont="1" applyFill="1" applyBorder="1" applyAlignment="1">
      <alignment horizontal="center" vertical="center" wrapText="1"/>
    </xf>
    <xf numFmtId="0" fontId="1" fillId="3" borderId="40" xfId="2" applyFont="1" applyFill="1" applyBorder="1" applyAlignment="1">
      <alignment horizontal="center" vertical="center" wrapText="1"/>
    </xf>
    <xf numFmtId="0" fontId="1" fillId="3" borderId="20" xfId="2" applyFont="1" applyFill="1" applyBorder="1" applyAlignment="1">
      <alignment horizontal="center" vertical="center" wrapText="1"/>
    </xf>
    <xf numFmtId="0" fontId="6" fillId="2" borderId="35" xfId="2" applyFont="1" applyFill="1" applyBorder="1" applyAlignment="1">
      <alignment horizontal="center" vertical="center" wrapText="1"/>
    </xf>
    <xf numFmtId="0" fontId="8" fillId="5" borderId="4" xfId="2" applyFont="1" applyFill="1" applyBorder="1" applyAlignment="1">
      <alignment horizontal="center" vertical="center" wrapText="1"/>
    </xf>
    <xf numFmtId="0" fontId="8" fillId="5" borderId="12" xfId="2" applyFont="1" applyFill="1" applyBorder="1" applyAlignment="1">
      <alignment horizontal="center" vertical="center" wrapText="1"/>
    </xf>
    <xf numFmtId="3" fontId="10" fillId="5" borderId="20" xfId="2" applyNumberFormat="1" applyFont="1" applyFill="1" applyBorder="1" applyAlignment="1">
      <alignment horizontal="center" vertical="center" wrapText="1"/>
    </xf>
    <xf numFmtId="3" fontId="10" fillId="5" borderId="21" xfId="2" applyNumberFormat="1" applyFont="1" applyFill="1" applyBorder="1" applyAlignment="1">
      <alignment horizontal="center" vertical="center" wrapText="1"/>
    </xf>
    <xf numFmtId="3" fontId="10" fillId="5" borderId="22" xfId="2" applyNumberFormat="1" applyFont="1" applyFill="1" applyBorder="1" applyAlignment="1">
      <alignment horizontal="center" vertical="center" wrapText="1"/>
    </xf>
    <xf numFmtId="3" fontId="10" fillId="5" borderId="7" xfId="2" applyNumberFormat="1" applyFont="1" applyFill="1" applyBorder="1" applyAlignment="1">
      <alignment horizontal="center" vertical="center" wrapText="1"/>
    </xf>
    <xf numFmtId="3" fontId="10" fillId="5" borderId="8" xfId="2" applyNumberFormat="1" applyFont="1" applyFill="1" applyBorder="1" applyAlignment="1">
      <alignment horizontal="center" vertical="center" wrapText="1"/>
    </xf>
    <xf numFmtId="3" fontId="10" fillId="5" borderId="9" xfId="2" applyNumberFormat="1" applyFont="1" applyFill="1" applyBorder="1" applyAlignment="1">
      <alignment horizontal="center" vertical="center" wrapText="1"/>
    </xf>
    <xf numFmtId="0" fontId="17" fillId="4" borderId="4" xfId="2" applyFont="1" applyFill="1" applyBorder="1" applyAlignment="1">
      <alignment horizontal="center" vertical="center" wrapText="1"/>
    </xf>
    <xf numFmtId="0" fontId="17" fillId="4" borderId="12" xfId="2" applyFont="1" applyFill="1" applyBorder="1" applyAlignment="1">
      <alignment horizontal="center" vertical="center" wrapText="1"/>
    </xf>
    <xf numFmtId="0" fontId="18" fillId="0" borderId="22" xfId="1" applyFont="1" applyBorder="1" applyAlignment="1">
      <alignment horizontal="center" vertical="center"/>
    </xf>
    <xf numFmtId="0" fontId="17" fillId="4" borderId="18" xfId="2" applyFont="1" applyFill="1" applyBorder="1" applyAlignment="1">
      <alignment horizontal="center" vertical="center" wrapText="1"/>
    </xf>
    <xf numFmtId="0" fontId="11" fillId="6" borderId="20" xfId="2" applyFont="1" applyFill="1" applyBorder="1" applyAlignment="1">
      <alignment horizontal="center" vertical="center" wrapText="1"/>
    </xf>
    <xf numFmtId="0" fontId="11" fillId="6" borderId="17" xfId="2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left" vertical="center" wrapText="1"/>
    </xf>
    <xf numFmtId="0" fontId="6" fillId="3" borderId="29" xfId="2" applyFont="1" applyFill="1" applyBorder="1" applyAlignment="1">
      <alignment horizontal="left" vertical="center" wrapText="1"/>
    </xf>
    <xf numFmtId="0" fontId="6" fillId="3" borderId="29" xfId="2" applyFont="1" applyFill="1" applyBorder="1" applyAlignment="1">
      <alignment horizontal="right" vertical="center" wrapText="1"/>
    </xf>
    <xf numFmtId="0" fontId="6" fillId="3" borderId="30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 wrapText="1"/>
    </xf>
    <xf numFmtId="0" fontId="6" fillId="3" borderId="0" xfId="2" applyFont="1" applyFill="1" applyAlignment="1">
      <alignment horizontal="right" vertical="center" wrapText="1"/>
    </xf>
  </cellXfs>
  <cellStyles count="4">
    <cellStyle name="Millares" xfId="3" builtinId="3"/>
    <cellStyle name="Normal" xfId="0" builtinId="0"/>
    <cellStyle name="Normal 2" xfId="1" xr:uid="{00000000-0005-0000-0000-000002000000}"/>
    <cellStyle name="Normal 2 2" xfId="2" xr:uid="{00000000-0005-0000-0000-000003000000}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28575</xdr:rowOff>
    </xdr:from>
    <xdr:to>
      <xdr:col>1</xdr:col>
      <xdr:colOff>706916</xdr:colOff>
      <xdr:row>4</xdr:row>
      <xdr:rowOff>77387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90500"/>
          <a:ext cx="1859441" cy="506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4"/>
  <sheetViews>
    <sheetView tabSelected="1" workbookViewId="0">
      <selection activeCell="S44" sqref="A2:S44"/>
    </sheetView>
  </sheetViews>
  <sheetFormatPr baseColWidth="10" defaultColWidth="11.42578125" defaultRowHeight="12" x14ac:dyDescent="0.2"/>
  <cols>
    <col min="1" max="1" width="18.7109375" style="1" customWidth="1"/>
    <col min="2" max="2" width="10.85546875" style="2" customWidth="1"/>
    <col min="3" max="3" width="10.5703125" style="3" bestFit="1" customWidth="1"/>
    <col min="4" max="4" width="9.5703125" style="3" bestFit="1" customWidth="1"/>
    <col min="5" max="5" width="8.5703125" style="3" bestFit="1" customWidth="1"/>
    <col min="6" max="7" width="4.42578125" style="3" bestFit="1" customWidth="1"/>
    <col min="8" max="8" width="11.140625" style="3" bestFit="1" customWidth="1"/>
    <col min="9" max="9" width="9.5703125" style="3" bestFit="1" customWidth="1"/>
    <col min="10" max="10" width="11.140625" style="3" bestFit="1" customWidth="1"/>
    <col min="11" max="11" width="4.42578125" style="3" bestFit="1" customWidth="1"/>
    <col min="12" max="12" width="10" style="3" bestFit="1" customWidth="1"/>
    <col min="13" max="13" width="12.7109375" style="3" bestFit="1" customWidth="1"/>
    <col min="14" max="16" width="10" style="3" bestFit="1" customWidth="1"/>
    <col min="17" max="17" width="12.7109375" style="3" bestFit="1" customWidth="1"/>
    <col min="18" max="18" width="14.5703125" style="3" customWidth="1"/>
    <col min="19" max="19" width="17.85546875" style="3" customWidth="1"/>
    <col min="20" max="20" width="8.5703125" style="3" bestFit="1" customWidth="1"/>
    <col min="21" max="31" width="11.42578125" style="3"/>
    <col min="32" max="32" width="1.42578125" style="3" bestFit="1" customWidth="1"/>
    <col min="33" max="16384" width="11.42578125" style="3"/>
  </cols>
  <sheetData>
    <row r="1" spans="1:20" ht="12.75" thickBot="1" x14ac:dyDescent="0.25">
      <c r="J1" s="4"/>
      <c r="K1" s="4"/>
    </row>
    <row r="2" spans="1:20" x14ac:dyDescent="0.2">
      <c r="A2" s="100">
        <v>121</v>
      </c>
      <c r="B2" s="101"/>
      <c r="C2" s="106" t="s">
        <v>0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9" t="s">
        <v>1</v>
      </c>
      <c r="S2" s="15" t="s">
        <v>68</v>
      </c>
    </row>
    <row r="3" spans="1:20" x14ac:dyDescent="0.2">
      <c r="A3" s="102"/>
      <c r="B3" s="103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20" t="s">
        <v>2</v>
      </c>
      <c r="S3" s="16">
        <v>5</v>
      </c>
    </row>
    <row r="4" spans="1:20" x14ac:dyDescent="0.2">
      <c r="A4" s="102"/>
      <c r="B4" s="103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20" t="s">
        <v>3</v>
      </c>
      <c r="S4" s="17">
        <v>45239</v>
      </c>
    </row>
    <row r="5" spans="1:20" ht="12.75" thickBot="1" x14ac:dyDescent="0.25">
      <c r="A5" s="104"/>
      <c r="B5" s="105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21" t="s">
        <v>4</v>
      </c>
      <c r="S5" s="18" t="s">
        <v>69</v>
      </c>
    </row>
    <row r="6" spans="1:20" ht="12.75" thickBot="1" x14ac:dyDescent="0.25">
      <c r="A6" s="5" t="s">
        <v>5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6"/>
      <c r="P6" s="111" t="s">
        <v>6</v>
      </c>
      <c r="Q6" s="112"/>
      <c r="R6" s="7">
        <f ca="1">+(TODAY())</f>
        <v>46066</v>
      </c>
      <c r="S6" s="28"/>
    </row>
    <row r="7" spans="1:20" ht="24" customHeight="1" x14ac:dyDescent="0.2">
      <c r="A7" s="113" t="s">
        <v>36</v>
      </c>
      <c r="B7" s="114" t="s">
        <v>86</v>
      </c>
      <c r="C7" s="140" t="s">
        <v>9</v>
      </c>
      <c r="D7" s="141"/>
      <c r="E7" s="141"/>
      <c r="F7" s="141"/>
      <c r="G7" s="142"/>
      <c r="H7" s="140" t="s">
        <v>10</v>
      </c>
      <c r="I7" s="141"/>
      <c r="J7" s="141"/>
      <c r="K7" s="142"/>
      <c r="L7" s="140" t="s">
        <v>11</v>
      </c>
      <c r="M7" s="141"/>
      <c r="N7" s="141"/>
      <c r="O7" s="141"/>
      <c r="P7" s="142"/>
      <c r="Q7" s="32" t="s">
        <v>12</v>
      </c>
      <c r="R7" s="134" t="s">
        <v>13</v>
      </c>
      <c r="S7" s="135"/>
    </row>
    <row r="8" spans="1:20" ht="21.95" customHeight="1" x14ac:dyDescent="0.2">
      <c r="A8" s="113"/>
      <c r="B8" s="114"/>
      <c r="C8" s="76">
        <v>6</v>
      </c>
      <c r="D8" s="77">
        <v>12</v>
      </c>
      <c r="E8" s="77">
        <v>15</v>
      </c>
      <c r="F8" s="77">
        <v>20</v>
      </c>
      <c r="G8" s="78">
        <v>30</v>
      </c>
      <c r="H8" s="76">
        <v>15</v>
      </c>
      <c r="I8" s="77">
        <v>20</v>
      </c>
      <c r="J8" s="77">
        <v>30</v>
      </c>
      <c r="K8" s="78">
        <v>60</v>
      </c>
      <c r="L8" s="76">
        <v>15</v>
      </c>
      <c r="M8" s="77">
        <v>30</v>
      </c>
      <c r="N8" s="77">
        <v>45</v>
      </c>
      <c r="O8" s="77">
        <v>60</v>
      </c>
      <c r="P8" s="78">
        <v>180</v>
      </c>
      <c r="Q8" s="79">
        <v>1</v>
      </c>
      <c r="R8" s="136"/>
      <c r="S8" s="137"/>
    </row>
    <row r="9" spans="1:20" ht="24.95" customHeight="1" x14ac:dyDescent="0.2">
      <c r="A9" s="109" t="s">
        <v>14</v>
      </c>
      <c r="B9" s="81" t="s">
        <v>15</v>
      </c>
      <c r="C9" s="82" t="str">
        <f>IF('cuadro 1'!C9+'cuadro 2'!C9+'cuadro 3'!C9=0,"",'cuadro 1'!C9+'cuadro 2'!C9+'cuadro 3'!C9)</f>
        <v/>
      </c>
      <c r="D9" s="82" t="str">
        <f>IF('cuadro 1'!D9+'cuadro 2'!D9+'cuadro 3'!D9=0,"",'cuadro 1'!D9+'cuadro 2'!D9+'cuadro 3'!D9)</f>
        <v/>
      </c>
      <c r="E9" s="82" t="str">
        <f>IF('cuadro 1'!E9+'cuadro 2'!E9+'cuadro 3'!E9=0,"",'cuadro 1'!E9+'cuadro 2'!E9+'cuadro 3'!E9)</f>
        <v/>
      </c>
      <c r="F9" s="82" t="str">
        <f>IF('cuadro 1'!F9+'cuadro 2'!F9+'cuadro 3'!F9=0,"",'cuadro 1'!F9+'cuadro 2'!F9+'cuadro 3'!F9)</f>
        <v/>
      </c>
      <c r="G9" s="82" t="str">
        <f>IF('cuadro 1'!G9+'cuadro 2'!G9+'cuadro 3'!G9=0,"",'cuadro 1'!G9+'cuadro 2'!G9+'cuadro 3'!G9)</f>
        <v/>
      </c>
      <c r="H9" s="82" t="str">
        <f>IF('cuadro 1'!H9+'cuadro 2'!H9+'cuadro 3'!H9=0,"",'cuadro 1'!H9+'cuadro 2'!H9+'cuadro 3'!H9)</f>
        <v/>
      </c>
      <c r="I9" s="82">
        <f>IF('cuadro 1'!I9+'cuadro 2'!I9+'cuadro 3'!I9=0,"",'cuadro 1'!I9+'cuadro 2'!I9+'cuadro 3'!I9)</f>
        <v>32</v>
      </c>
      <c r="J9" s="82" t="str">
        <f>IF('cuadro 1'!J9+'cuadro 2'!J9+'cuadro 3'!J9=0,"",'cuadro 1'!J9+'cuadro 2'!J9+'cuadro 3'!J9)</f>
        <v/>
      </c>
      <c r="K9" s="82" t="str">
        <f>IF('cuadro 1'!K9+'cuadro 2'!K9+'cuadro 3'!K9=0,"",'cuadro 1'!K9+'cuadro 2'!K9+'cuadro 3'!K9)</f>
        <v/>
      </c>
      <c r="L9" s="82" t="str">
        <f>IF('cuadro 1'!L9+'cuadro 2'!L9+'cuadro 3'!L9=0,"",'cuadro 1'!L9+'cuadro 2'!L9+'cuadro 3'!L9)</f>
        <v/>
      </c>
      <c r="M9" s="82" t="str">
        <f>IF('cuadro 1'!M9+'cuadro 2'!M9+'cuadro 3'!M9=0,"",'cuadro 1'!M9+'cuadro 2'!M9+'cuadro 3'!M9)</f>
        <v/>
      </c>
      <c r="N9" s="82" t="str">
        <f>IF('cuadro 1'!N9+'cuadro 2'!N9+'cuadro 3'!N9=0,"",'cuadro 1'!N9+'cuadro 2'!N9+'cuadro 3'!N9)</f>
        <v/>
      </c>
      <c r="O9" s="82" t="str">
        <f>IF('cuadro 1'!O9+'cuadro 2'!O9+'cuadro 3'!O9=0,"",'cuadro 1'!O9+'cuadro 2'!O9+'cuadro 3'!O9)</f>
        <v/>
      </c>
      <c r="P9" s="82" t="str">
        <f>IF('cuadro 1'!P9+'cuadro 2'!P9+'cuadro 3'!P9=0,"",'cuadro 1'!P9+'cuadro 2'!P9+'cuadro 3'!P9)</f>
        <v/>
      </c>
      <c r="Q9" s="82" t="str">
        <f>IF('cuadro 1'!Q9+'cuadro 2'!Q9+'cuadro 3'!Q9=0,"",'cuadro 1'!Q9+'cuadro 2'!Q9+'cuadro 3'!Q9)</f>
        <v/>
      </c>
      <c r="R9" s="130"/>
      <c r="S9" s="131"/>
    </row>
    <row r="10" spans="1:20" ht="24.95" customHeight="1" x14ac:dyDescent="0.2">
      <c r="A10" s="109"/>
      <c r="B10" s="81" t="s">
        <v>16</v>
      </c>
      <c r="C10" s="82" t="str">
        <f>IF('cuadro 1'!C10+'cuadro 2'!C10+'cuadro 3'!C10=0,"",'cuadro 1'!C10+'cuadro 2'!C10+'cuadro 3'!C10)</f>
        <v/>
      </c>
      <c r="D10" s="82">
        <f>IF('cuadro 1'!D10+'cuadro 2'!D10+'cuadro 3'!D10=0,"",'cuadro 1'!D10+'cuadro 2'!D10+'cuadro 3'!D10)</f>
        <v>40</v>
      </c>
      <c r="E10" s="82" t="str">
        <f>IF('cuadro 1'!E10+'cuadro 2'!E10+'cuadro 3'!E10=0,"",'cuadro 1'!E10+'cuadro 2'!E10+'cuadro 3'!E10)</f>
        <v/>
      </c>
      <c r="F10" s="82" t="str">
        <f>IF('cuadro 1'!F10+'cuadro 2'!F10+'cuadro 3'!F10=0,"",'cuadro 1'!F10+'cuadro 2'!F10+'cuadro 3'!F10)</f>
        <v/>
      </c>
      <c r="G10" s="82" t="str">
        <f>IF('cuadro 1'!G10+'cuadro 2'!G10+'cuadro 3'!G10=0,"",'cuadro 1'!G10+'cuadro 2'!G10+'cuadro 3'!G10)</f>
        <v/>
      </c>
      <c r="H10" s="82" t="str">
        <f>IF('cuadro 1'!H10+'cuadro 2'!H10+'cuadro 3'!H10=0,"",'cuadro 1'!H10+'cuadro 2'!H10+'cuadro 3'!H10)</f>
        <v/>
      </c>
      <c r="I10" s="82" t="str">
        <f>IF('cuadro 1'!I10+'cuadro 2'!I10+'cuadro 3'!I10=0,"",'cuadro 1'!I10+'cuadro 2'!I10+'cuadro 3'!I10)</f>
        <v/>
      </c>
      <c r="J10" s="82" t="str">
        <f>IF('cuadro 1'!J10+'cuadro 2'!J10+'cuadro 3'!J10=0,"",'cuadro 1'!J10+'cuadro 2'!J10+'cuadro 3'!J10)</f>
        <v/>
      </c>
      <c r="K10" s="82" t="str">
        <f>IF('cuadro 1'!K10+'cuadro 2'!K10+'cuadro 3'!K10=0,"",'cuadro 1'!K10+'cuadro 2'!K10+'cuadro 3'!K10)</f>
        <v/>
      </c>
      <c r="L10" s="82" t="str">
        <f>IF('cuadro 1'!L10+'cuadro 2'!L10+'cuadro 3'!L10=0,"",'cuadro 1'!L10+'cuadro 2'!L10+'cuadro 3'!L10)</f>
        <v/>
      </c>
      <c r="M10" s="82" t="str">
        <f>IF('cuadro 1'!M10+'cuadro 2'!M10+'cuadro 3'!M10=0,"",'cuadro 1'!M10+'cuadro 2'!M10+'cuadro 3'!M10)</f>
        <v/>
      </c>
      <c r="N10" s="82" t="str">
        <f>IF('cuadro 1'!N10+'cuadro 2'!N10+'cuadro 3'!N10=0,"",'cuadro 1'!N10+'cuadro 2'!N10+'cuadro 3'!N10)</f>
        <v/>
      </c>
      <c r="O10" s="82" t="str">
        <f>IF('cuadro 1'!O10+'cuadro 2'!O10+'cuadro 3'!O10=0,"",'cuadro 1'!O10+'cuadro 2'!O10+'cuadro 3'!O10)</f>
        <v/>
      </c>
      <c r="P10" s="82" t="str">
        <f>IF('cuadro 1'!P10+'cuadro 2'!P10+'cuadro 3'!P10=0,"",'cuadro 1'!P10+'cuadro 2'!P10+'cuadro 3'!P10)</f>
        <v/>
      </c>
      <c r="Q10" s="82" t="str">
        <f>IF('cuadro 1'!Q10+'cuadro 2'!Q10+'cuadro 3'!Q10=0,"",'cuadro 1'!Q10+'cuadro 2'!Q10+'cuadro 3'!Q10)</f>
        <v/>
      </c>
      <c r="R10" s="130"/>
      <c r="S10" s="131"/>
      <c r="T10" s="9"/>
    </row>
    <row r="11" spans="1:20" ht="24.95" customHeight="1" x14ac:dyDescent="0.2">
      <c r="A11" s="109"/>
      <c r="B11" s="81" t="s">
        <v>17</v>
      </c>
      <c r="C11" s="82">
        <f>IF('cuadro 1'!C11+'cuadro 2'!C11+'cuadro 3'!C11=0,"",'cuadro 1'!C11+'cuadro 2'!C11+'cuadro 3'!C11)</f>
        <v>23</v>
      </c>
      <c r="D11" s="82" t="str">
        <f>IF('cuadro 1'!D11+'cuadro 2'!D11+'cuadro 3'!D11=0,"",'cuadro 1'!D11+'cuadro 2'!D11+'cuadro 3'!D11)</f>
        <v/>
      </c>
      <c r="E11" s="82" t="str">
        <f>IF('cuadro 1'!E11+'cuadro 2'!E11+'cuadro 3'!E11=0,"",'cuadro 1'!E11+'cuadro 2'!E11+'cuadro 3'!E11)</f>
        <v/>
      </c>
      <c r="F11" s="82" t="str">
        <f>IF('cuadro 1'!F11+'cuadro 2'!F11+'cuadro 3'!F11=0,"",'cuadro 1'!F11+'cuadro 2'!F11+'cuadro 3'!F11)</f>
        <v/>
      </c>
      <c r="G11" s="82" t="str">
        <f>IF('cuadro 1'!G11+'cuadro 2'!G11+'cuadro 3'!G11=0,"",'cuadro 1'!G11+'cuadro 2'!G11+'cuadro 3'!G11)</f>
        <v/>
      </c>
      <c r="H11" s="82" t="str">
        <f>IF('cuadro 1'!H11+'cuadro 2'!H11+'cuadro 3'!H11=0,"",'cuadro 1'!H11+'cuadro 2'!H11+'cuadro 3'!H11)</f>
        <v/>
      </c>
      <c r="I11" s="82" t="str">
        <f>IF('cuadro 1'!I11+'cuadro 2'!I11+'cuadro 3'!I11=0,"",'cuadro 1'!I11+'cuadro 2'!I11+'cuadro 3'!I11)</f>
        <v/>
      </c>
      <c r="J11" s="82" t="str">
        <f>IF('cuadro 1'!J11+'cuadro 2'!J11+'cuadro 3'!J11=0,"",'cuadro 1'!J11+'cuadro 2'!J11+'cuadro 3'!J11)</f>
        <v/>
      </c>
      <c r="K11" s="82" t="str">
        <f>IF('cuadro 1'!K11+'cuadro 2'!K11+'cuadro 3'!K11=0,"",'cuadro 1'!K11+'cuadro 2'!K11+'cuadro 3'!K11)</f>
        <v/>
      </c>
      <c r="L11" s="82" t="str">
        <f>IF('cuadro 1'!L11+'cuadro 2'!L11+'cuadro 3'!L11=0,"",'cuadro 1'!L11+'cuadro 2'!L11+'cuadro 3'!L11)</f>
        <v/>
      </c>
      <c r="M11" s="82">
        <f>IF('cuadro 1'!M11+'cuadro 2'!M11+'cuadro 3'!M11=0,"",'cuadro 1'!M11+'cuadro 2'!M11+'cuadro 3'!M11)</f>
        <v>400</v>
      </c>
      <c r="N11" s="82" t="str">
        <f>IF('cuadro 1'!N11+'cuadro 2'!N11+'cuadro 3'!N11=0,"",'cuadro 1'!N11+'cuadro 2'!N11+'cuadro 3'!N11)</f>
        <v/>
      </c>
      <c r="O11" s="82" t="str">
        <f>IF('cuadro 1'!O11+'cuadro 2'!O11+'cuadro 3'!O11=0,"",'cuadro 1'!O11+'cuadro 2'!O11+'cuadro 3'!O11)</f>
        <v/>
      </c>
      <c r="P11" s="82" t="str">
        <f>IF('cuadro 1'!P11+'cuadro 2'!P11+'cuadro 3'!P11=0,"",'cuadro 1'!P11+'cuadro 2'!P11+'cuadro 3'!P11)</f>
        <v/>
      </c>
      <c r="Q11" s="82" t="str">
        <f>IF('cuadro 1'!Q11+'cuadro 2'!Q11+'cuadro 3'!Q11=0,"",'cuadro 1'!Q11+'cuadro 2'!Q11+'cuadro 3'!Q11)</f>
        <v/>
      </c>
      <c r="R11" s="132"/>
      <c r="S11" s="133"/>
      <c r="T11" s="8"/>
    </row>
    <row r="12" spans="1:20" ht="24.95" customHeight="1" x14ac:dyDescent="0.2">
      <c r="A12" s="109"/>
      <c r="B12" s="81" t="s">
        <v>18</v>
      </c>
      <c r="C12" s="82" t="str">
        <f>IF('cuadro 1'!C12+'cuadro 2'!C12+'cuadro 3'!C12=0,"",'cuadro 1'!C12+'cuadro 2'!C12+'cuadro 3'!C12)</f>
        <v/>
      </c>
      <c r="D12" s="82" t="str">
        <f>IF('cuadro 1'!D12+'cuadro 2'!D12+'cuadro 3'!D12=0,"",'cuadro 1'!D12+'cuadro 2'!D12+'cuadro 3'!D12)</f>
        <v/>
      </c>
      <c r="E12" s="82" t="str">
        <f>IF('cuadro 1'!E12+'cuadro 2'!E12+'cuadro 3'!E12=0,"",'cuadro 1'!E12+'cuadro 2'!E12+'cuadro 3'!E12)</f>
        <v/>
      </c>
      <c r="F12" s="82" t="str">
        <f>IF('cuadro 1'!F12+'cuadro 2'!F12+'cuadro 3'!F12=0,"",'cuadro 1'!F12+'cuadro 2'!F12+'cuadro 3'!F12)</f>
        <v/>
      </c>
      <c r="G12" s="82" t="str">
        <f>IF('cuadro 1'!G12+'cuadro 2'!G12+'cuadro 3'!G12=0,"",'cuadro 1'!G12+'cuadro 2'!G12+'cuadro 3'!G12)</f>
        <v/>
      </c>
      <c r="H12" s="82" t="str">
        <f>IF('cuadro 1'!H12+'cuadro 2'!H12+'cuadro 3'!H12=0,"",'cuadro 1'!H12+'cuadro 2'!H12+'cuadro 3'!H12)</f>
        <v/>
      </c>
      <c r="I12" s="82" t="str">
        <f>IF('cuadro 1'!I12+'cuadro 2'!I12+'cuadro 3'!I12=0,"",'cuadro 1'!I12+'cuadro 2'!I12+'cuadro 3'!I12)</f>
        <v/>
      </c>
      <c r="J12" s="82" t="str">
        <f>IF('cuadro 1'!J12+'cuadro 2'!J12+'cuadro 3'!J12=0,"",'cuadro 1'!J12+'cuadro 2'!J12+'cuadro 3'!J12)</f>
        <v/>
      </c>
      <c r="K12" s="82" t="str">
        <f>IF('cuadro 1'!K12+'cuadro 2'!K12+'cuadro 3'!K12=0,"",'cuadro 1'!K12+'cuadro 2'!K12+'cuadro 3'!K12)</f>
        <v/>
      </c>
      <c r="L12" s="82" t="str">
        <f>IF('cuadro 1'!L12+'cuadro 2'!L12+'cuadro 3'!L12=0,"",'cuadro 1'!L12+'cuadro 2'!L12+'cuadro 3'!L12)</f>
        <v/>
      </c>
      <c r="M12" s="82">
        <f>IF('cuadro 1'!M12+'cuadro 2'!M12+'cuadro 3'!M12=0,"",'cuadro 1'!M12+'cuadro 2'!M12+'cuadro 3'!M12)</f>
        <v>8214</v>
      </c>
      <c r="N12" s="82" t="str">
        <f>IF('cuadro 1'!N12+'cuadro 2'!N12+'cuadro 3'!N12=0,"",'cuadro 1'!N12+'cuadro 2'!N12+'cuadro 3'!N12)</f>
        <v/>
      </c>
      <c r="O12" s="82" t="str">
        <f>IF('cuadro 1'!O12+'cuadro 2'!O12+'cuadro 3'!O12=0,"",'cuadro 1'!O12+'cuadro 2'!O12+'cuadro 3'!O12)</f>
        <v/>
      </c>
      <c r="P12" s="82" t="str">
        <f>IF('cuadro 1'!P12+'cuadro 2'!P12+'cuadro 3'!P12=0,"",'cuadro 1'!P12+'cuadro 2'!P12+'cuadro 3'!P12)</f>
        <v/>
      </c>
      <c r="Q12" s="82" t="str">
        <f>IF('cuadro 1'!Q12+'cuadro 2'!Q12+'cuadro 3'!Q12=0,"",'cuadro 1'!Q12+'cuadro 2'!Q12+'cuadro 3'!Q12)</f>
        <v/>
      </c>
      <c r="R12" s="132"/>
      <c r="S12" s="133"/>
    </row>
    <row r="13" spans="1:20" ht="24.95" customHeight="1" x14ac:dyDescent="0.2">
      <c r="A13" s="109"/>
      <c r="B13" s="81" t="s">
        <v>19</v>
      </c>
      <c r="C13" s="82" t="str">
        <f>IF('cuadro 1'!C13+'cuadro 2'!C13+'cuadro 3'!C13=0,"",'cuadro 1'!C13+'cuadro 2'!C13+'cuadro 3'!C13)</f>
        <v/>
      </c>
      <c r="D13" s="82" t="str">
        <f>IF('cuadro 1'!D13+'cuadro 2'!D13+'cuadro 3'!D13=0,"",'cuadro 1'!D13+'cuadro 2'!D13+'cuadro 3'!D13)</f>
        <v/>
      </c>
      <c r="E13" s="82" t="str">
        <f>IF('cuadro 1'!E13+'cuadro 2'!E13+'cuadro 3'!E13=0,"",'cuadro 1'!E13+'cuadro 2'!E13+'cuadro 3'!E13)</f>
        <v/>
      </c>
      <c r="F13" s="82" t="str">
        <f>IF('cuadro 1'!F13+'cuadro 2'!F13+'cuadro 3'!F13=0,"",'cuadro 1'!F13+'cuadro 2'!F13+'cuadro 3'!F13)</f>
        <v/>
      </c>
      <c r="G13" s="82" t="str">
        <f>IF('cuadro 1'!G13+'cuadro 2'!G13+'cuadro 3'!G13=0,"",'cuadro 1'!G13+'cuadro 2'!G13+'cuadro 3'!G13)</f>
        <v/>
      </c>
      <c r="H13" s="82" t="str">
        <f>IF('cuadro 1'!H13+'cuadro 2'!H13+'cuadro 3'!H13=0,"",'cuadro 1'!H13+'cuadro 2'!H13+'cuadro 3'!H13)</f>
        <v/>
      </c>
      <c r="I13" s="82" t="str">
        <f>IF('cuadro 1'!I13+'cuadro 2'!I13+'cuadro 3'!I13=0,"",'cuadro 1'!I13+'cuadro 2'!I13+'cuadro 3'!I13)</f>
        <v/>
      </c>
      <c r="J13" s="82" t="str">
        <f>IF('cuadro 1'!J13+'cuadro 2'!J13+'cuadro 3'!J13=0,"",'cuadro 1'!J13+'cuadro 2'!J13+'cuadro 3'!J13)</f>
        <v/>
      </c>
      <c r="K13" s="82" t="str">
        <f>IF('cuadro 1'!K13+'cuadro 2'!K13+'cuadro 3'!K13=0,"",'cuadro 1'!K13+'cuadro 2'!K13+'cuadro 3'!K13)</f>
        <v/>
      </c>
      <c r="L13" s="82" t="str">
        <f>IF('cuadro 1'!L13+'cuadro 2'!L13+'cuadro 3'!L13=0,"",'cuadro 1'!L13+'cuadro 2'!L13+'cuadro 3'!L13)</f>
        <v/>
      </c>
      <c r="M13" s="82">
        <f>IF('cuadro 1'!M13+'cuadro 2'!M13+'cuadro 3'!M13=0,"",'cuadro 1'!M13+'cuadro 2'!M13+'cuadro 3'!M13)</f>
        <v>257</v>
      </c>
      <c r="N13" s="82" t="str">
        <f>IF('cuadro 1'!N13+'cuadro 2'!N13+'cuadro 3'!N13=0,"",'cuadro 1'!N13+'cuadro 2'!N13+'cuadro 3'!N13)</f>
        <v/>
      </c>
      <c r="O13" s="82">
        <f>IF('cuadro 1'!O13+'cuadro 2'!O13+'cuadro 3'!O13=0,"",'cuadro 1'!O13+'cuadro 2'!O13+'cuadro 3'!O13)</f>
        <v>26</v>
      </c>
      <c r="P13" s="82" t="str">
        <f>IF('cuadro 1'!P13+'cuadro 2'!P13+'cuadro 3'!P13=0,"",'cuadro 1'!P13+'cuadro 2'!P13+'cuadro 3'!P13)</f>
        <v/>
      </c>
      <c r="Q13" s="82" t="str">
        <f>IF('cuadro 1'!Q13+'cuadro 2'!Q13+'cuadro 3'!Q13=0,"",'cuadro 1'!Q13+'cuadro 2'!Q13+'cuadro 3'!Q13)</f>
        <v/>
      </c>
      <c r="R13" s="130"/>
      <c r="S13" s="131"/>
    </row>
    <row r="14" spans="1:20" ht="24.95" customHeight="1" x14ac:dyDescent="0.2">
      <c r="A14" s="109"/>
      <c r="B14" s="81" t="s">
        <v>20</v>
      </c>
      <c r="C14" s="82" t="str">
        <f>IF('cuadro 1'!C14+'cuadro 2'!C14+'cuadro 3'!C14=0,"",'cuadro 1'!C14+'cuadro 2'!C14+'cuadro 3'!C14)</f>
        <v/>
      </c>
      <c r="D14" s="82" t="str">
        <f>IF('cuadro 1'!D14+'cuadro 2'!D14+'cuadro 3'!D14=0,"",'cuadro 1'!D14+'cuadro 2'!D14+'cuadro 3'!D14)</f>
        <v/>
      </c>
      <c r="E14" s="82" t="str">
        <f>IF('cuadro 1'!E14+'cuadro 2'!E14+'cuadro 3'!E14=0,"",'cuadro 1'!E14+'cuadro 2'!E14+'cuadro 3'!E14)</f>
        <v/>
      </c>
      <c r="F14" s="82" t="str">
        <f>IF('cuadro 1'!F14+'cuadro 2'!F14+'cuadro 3'!F14=0,"",'cuadro 1'!F14+'cuadro 2'!F14+'cuadro 3'!F14)</f>
        <v/>
      </c>
      <c r="G14" s="82" t="str">
        <f>IF('cuadro 1'!G14+'cuadro 2'!G14+'cuadro 3'!G14=0,"",'cuadro 1'!G14+'cuadro 2'!G14+'cuadro 3'!G14)</f>
        <v/>
      </c>
      <c r="H14" s="82" t="str">
        <f>IF('cuadro 1'!H14+'cuadro 2'!H14+'cuadro 3'!H14=0,"",'cuadro 1'!H14+'cuadro 2'!H14+'cuadro 3'!H14)</f>
        <v/>
      </c>
      <c r="I14" s="82" t="str">
        <f>IF('cuadro 1'!I14+'cuadro 2'!I14+'cuadro 3'!I14=0,"",'cuadro 1'!I14+'cuadro 2'!I14+'cuadro 3'!I14)</f>
        <v/>
      </c>
      <c r="J14" s="82" t="str">
        <f>IF('cuadro 1'!J14+'cuadro 2'!J14+'cuadro 3'!J14=0,"",'cuadro 1'!J14+'cuadro 2'!J14+'cuadro 3'!J14)</f>
        <v/>
      </c>
      <c r="K14" s="82" t="str">
        <f>IF('cuadro 1'!K14+'cuadro 2'!K14+'cuadro 3'!K14=0,"",'cuadro 1'!K14+'cuadro 2'!K14+'cuadro 3'!K14)</f>
        <v/>
      </c>
      <c r="L14" s="82" t="str">
        <f>IF('cuadro 1'!L14+'cuadro 2'!L14+'cuadro 3'!L14=0,"",'cuadro 1'!L14+'cuadro 2'!L14+'cuadro 3'!L14)</f>
        <v/>
      </c>
      <c r="M14" s="82" t="str">
        <f>IF('cuadro 1'!M14+'cuadro 2'!M14+'cuadro 3'!M14=0,"",'cuadro 1'!M14+'cuadro 2'!M14+'cuadro 3'!M14)</f>
        <v/>
      </c>
      <c r="N14" s="82" t="str">
        <f>IF('cuadro 1'!N14+'cuadro 2'!N14+'cuadro 3'!N14=0,"",'cuadro 1'!N14+'cuadro 2'!N14+'cuadro 3'!N14)</f>
        <v/>
      </c>
      <c r="O14" s="82" t="str">
        <f>IF('cuadro 1'!O14+'cuadro 2'!O14+'cuadro 3'!O14=0,"",'cuadro 1'!O14+'cuadro 2'!O14+'cuadro 3'!O14)</f>
        <v/>
      </c>
      <c r="P14" s="82" t="str">
        <f>IF('cuadro 1'!P14+'cuadro 2'!P14+'cuadro 3'!P14=0,"",'cuadro 1'!P14+'cuadro 2'!P14+'cuadro 3'!P14)</f>
        <v/>
      </c>
      <c r="Q14" s="82" t="str">
        <f>IF('cuadro 1'!Q14+'cuadro 2'!Q14+'cuadro 3'!Q14=0,"",'cuadro 1'!Q14+'cuadro 2'!Q14+'cuadro 3'!Q14)</f>
        <v/>
      </c>
      <c r="R14" s="130"/>
      <c r="S14" s="131"/>
    </row>
    <row r="15" spans="1:20" ht="24.95" customHeight="1" x14ac:dyDescent="0.2">
      <c r="A15" s="96" t="s">
        <v>21</v>
      </c>
      <c r="B15" s="81" t="s">
        <v>16</v>
      </c>
      <c r="C15" s="82" t="str">
        <f>IF('cuadro 1'!C15+'cuadro 2'!C15+'cuadro 3'!C15=0,"",'cuadro 1'!C15+'cuadro 2'!C15+'cuadro 3'!C15)</f>
        <v/>
      </c>
      <c r="D15" s="82">
        <f>IF('cuadro 1'!D15+'cuadro 2'!D15+'cuadro 3'!D15=0,"",'cuadro 1'!D15+'cuadro 2'!D15+'cuadro 3'!D15)</f>
        <v>108</v>
      </c>
      <c r="E15" s="82">
        <f>IF('cuadro 1'!E15+'cuadro 2'!E15+'cuadro 3'!E15=0,"",'cuadro 1'!E15+'cuadro 2'!E15+'cuadro 3'!E15)</f>
        <v>48</v>
      </c>
      <c r="F15" s="82" t="str">
        <f>IF('cuadro 1'!F15+'cuadro 2'!F15+'cuadro 3'!F15=0,"",'cuadro 1'!F15+'cuadro 2'!F15+'cuadro 3'!F15)</f>
        <v/>
      </c>
      <c r="G15" s="82" t="str">
        <f>IF('cuadro 1'!G15+'cuadro 2'!G15+'cuadro 3'!G15=0,"",'cuadro 1'!G15+'cuadro 2'!G15+'cuadro 3'!G15)</f>
        <v/>
      </c>
      <c r="H15" s="82" t="str">
        <f>IF('cuadro 1'!H15+'cuadro 2'!H15+'cuadro 3'!H15=0,"",'cuadro 1'!H15+'cuadro 2'!H15+'cuadro 3'!H15)</f>
        <v/>
      </c>
      <c r="I15" s="82" t="str">
        <f>IF('cuadro 1'!I15+'cuadro 2'!I15+'cuadro 3'!I15=0,"",'cuadro 1'!I15+'cuadro 2'!I15+'cuadro 3'!I15)</f>
        <v/>
      </c>
      <c r="J15" s="82">
        <f>IF('cuadro 1'!J15+'cuadro 2'!J15+'cuadro 3'!J15=0,"",'cuadro 1'!J15+'cuadro 2'!J15+'cuadro 3'!J15)</f>
        <v>131</v>
      </c>
      <c r="K15" s="82" t="str">
        <f>IF('cuadro 1'!K15+'cuadro 2'!K15+'cuadro 3'!K15=0,"",'cuadro 1'!K15+'cuadro 2'!K15+'cuadro 3'!K15)</f>
        <v/>
      </c>
      <c r="L15" s="82" t="str">
        <f>IF('cuadro 1'!L15+'cuadro 2'!L15+'cuadro 3'!L15=0,"",'cuadro 1'!L15+'cuadro 2'!L15+'cuadro 3'!L15)</f>
        <v/>
      </c>
      <c r="M15" s="82" t="str">
        <f>IF('cuadro 1'!M15+'cuadro 2'!M15+'cuadro 3'!M15=0,"",'cuadro 1'!M15+'cuadro 2'!M15+'cuadro 3'!M15)</f>
        <v/>
      </c>
      <c r="N15" s="82" t="str">
        <f>IF('cuadro 1'!N15+'cuadro 2'!N15+'cuadro 3'!N15=0,"",'cuadro 1'!N15+'cuadro 2'!N15+'cuadro 3'!N15)</f>
        <v/>
      </c>
      <c r="O15" s="82" t="str">
        <f>IF('cuadro 1'!O15+'cuadro 2'!O15+'cuadro 3'!O15=0,"",'cuadro 1'!O15+'cuadro 2'!O15+'cuadro 3'!O15)</f>
        <v/>
      </c>
      <c r="P15" s="82" t="str">
        <f>IF('cuadro 1'!P15+'cuadro 2'!P15+'cuadro 3'!P15=0,"",'cuadro 1'!P15+'cuadro 2'!P15+'cuadro 3'!P15)</f>
        <v/>
      </c>
      <c r="Q15" s="82" t="str">
        <f>IF('cuadro 1'!Q15+'cuadro 2'!Q15+'cuadro 3'!Q15=0,"",'cuadro 1'!Q15+'cuadro 2'!Q15+'cuadro 3'!Q15)</f>
        <v/>
      </c>
      <c r="R15" s="130"/>
      <c r="S15" s="131"/>
    </row>
    <row r="16" spans="1:20" ht="24.95" customHeight="1" x14ac:dyDescent="0.2">
      <c r="A16" s="97"/>
      <c r="B16" s="81" t="s">
        <v>17</v>
      </c>
      <c r="C16" s="82" t="str">
        <f>IF('cuadro 1'!C16+'cuadro 2'!C16+'cuadro 3'!C16=0,"",'cuadro 1'!C16+'cuadro 2'!C16+'cuadro 3'!C16)</f>
        <v/>
      </c>
      <c r="D16" s="82" t="str">
        <f>IF('cuadro 1'!D16+'cuadro 2'!D16+'cuadro 3'!D16=0,"",'cuadro 1'!D16+'cuadro 2'!D16+'cuadro 3'!D16)</f>
        <v/>
      </c>
      <c r="E16" s="82" t="str">
        <f>IF('cuadro 1'!E16+'cuadro 2'!E16+'cuadro 3'!E16=0,"",'cuadro 1'!E16+'cuadro 2'!E16+'cuadro 3'!E16)</f>
        <v/>
      </c>
      <c r="F16" s="82" t="str">
        <f>IF('cuadro 1'!F16+'cuadro 2'!F16+'cuadro 3'!F16=0,"",'cuadro 1'!F16+'cuadro 2'!F16+'cuadro 3'!F16)</f>
        <v/>
      </c>
      <c r="G16" s="82" t="str">
        <f>IF('cuadro 1'!G16+'cuadro 2'!G16+'cuadro 3'!G16=0,"",'cuadro 1'!G16+'cuadro 2'!G16+'cuadro 3'!G16)</f>
        <v/>
      </c>
      <c r="H16" s="82" t="str">
        <f>IF('cuadro 1'!H16+'cuadro 2'!H16+'cuadro 3'!H16=0,"",'cuadro 1'!H16+'cuadro 2'!H16+'cuadro 3'!H16)</f>
        <v/>
      </c>
      <c r="I16" s="82" t="str">
        <f>IF('cuadro 1'!I16+'cuadro 2'!I16+'cuadro 3'!I16=0,"",'cuadro 1'!I16+'cuadro 2'!I16+'cuadro 3'!I16)</f>
        <v/>
      </c>
      <c r="J16" s="82">
        <f>IF('cuadro 1'!J16+'cuadro 2'!J16+'cuadro 3'!J16=0,"",'cuadro 1'!J16+'cuadro 2'!J16+'cuadro 3'!J16)</f>
        <v>30</v>
      </c>
      <c r="K16" s="82" t="str">
        <f>IF('cuadro 1'!K16+'cuadro 2'!K16+'cuadro 3'!K16=0,"",'cuadro 1'!K16+'cuadro 2'!K16+'cuadro 3'!K16)</f>
        <v/>
      </c>
      <c r="L16" s="82" t="str">
        <f>IF('cuadro 1'!L16+'cuadro 2'!L16+'cuadro 3'!L16=0,"",'cuadro 1'!L16+'cuadro 2'!L16+'cuadro 3'!L16)</f>
        <v/>
      </c>
      <c r="M16" s="82" t="str">
        <f>IF('cuadro 1'!M16+'cuadro 2'!M16+'cuadro 3'!M16=0,"",'cuadro 1'!M16+'cuadro 2'!M16+'cuadro 3'!M16)</f>
        <v/>
      </c>
      <c r="N16" s="82" t="str">
        <f>IF('cuadro 1'!N16+'cuadro 2'!N16+'cuadro 3'!N16=0,"",'cuadro 1'!N16+'cuadro 2'!N16+'cuadro 3'!N16)</f>
        <v/>
      </c>
      <c r="O16" s="82" t="str">
        <f>IF('cuadro 1'!O16+'cuadro 2'!O16+'cuadro 3'!O16=0,"",'cuadro 1'!O16+'cuadro 2'!O16+'cuadro 3'!O16)</f>
        <v/>
      </c>
      <c r="P16" s="82" t="str">
        <f>IF('cuadro 1'!P16+'cuadro 2'!P16+'cuadro 3'!P16=0,"",'cuadro 1'!P16+'cuadro 2'!P16+'cuadro 3'!P16)</f>
        <v/>
      </c>
      <c r="Q16" s="82" t="str">
        <f>IF('cuadro 1'!Q16+'cuadro 2'!Q16+'cuadro 3'!Q16=0,"",'cuadro 1'!Q16+'cuadro 2'!Q16+'cuadro 3'!Q16)</f>
        <v/>
      </c>
      <c r="R16" s="132"/>
      <c r="S16" s="133"/>
    </row>
    <row r="17" spans="1:21" ht="24.95" customHeight="1" x14ac:dyDescent="0.2">
      <c r="A17" s="98" t="s">
        <v>22</v>
      </c>
      <c r="B17" s="83" t="s">
        <v>17</v>
      </c>
      <c r="C17" s="82" t="str">
        <f>IF('cuadro 1'!C17+'cuadro 2'!C17+'cuadro 3'!C17=0,"",'cuadro 1'!C17+'cuadro 2'!C17+'cuadro 3'!C17)</f>
        <v/>
      </c>
      <c r="D17" s="82">
        <f>IF('cuadro 1'!D17+'cuadro 2'!D17+'cuadro 3'!D17=0,"",'cuadro 1'!D17+'cuadro 2'!D17+'cuadro 3'!D17)</f>
        <v>55</v>
      </c>
      <c r="E17" s="82" t="str">
        <f>IF('cuadro 1'!E17+'cuadro 2'!E17+'cuadro 3'!E17=0,"",'cuadro 1'!E17+'cuadro 2'!E17+'cuadro 3'!E17)</f>
        <v/>
      </c>
      <c r="F17" s="82" t="str">
        <f>IF('cuadro 1'!F17+'cuadro 2'!F17+'cuadro 3'!F17=0,"",'cuadro 1'!F17+'cuadro 2'!F17+'cuadro 3'!F17)</f>
        <v/>
      </c>
      <c r="G17" s="82" t="str">
        <f>IF('cuadro 1'!G17+'cuadro 2'!G17+'cuadro 3'!G17=0,"",'cuadro 1'!G17+'cuadro 2'!G17+'cuadro 3'!G17)</f>
        <v/>
      </c>
      <c r="H17" s="82" t="str">
        <f>IF('cuadro 1'!H17+'cuadro 2'!H17+'cuadro 3'!H17=0,"",'cuadro 1'!H17+'cuadro 2'!H17+'cuadro 3'!H17)</f>
        <v/>
      </c>
      <c r="I17" s="82" t="str">
        <f>IF('cuadro 1'!I17+'cuadro 2'!I17+'cuadro 3'!I17=0,"",'cuadro 1'!I17+'cuadro 2'!I17+'cuadro 3'!I17)</f>
        <v/>
      </c>
      <c r="J17" s="82">
        <f>IF('cuadro 1'!J17+'cuadro 2'!J17+'cuadro 3'!J17=0,"",'cuadro 1'!J17+'cuadro 2'!J17+'cuadro 3'!J17)</f>
        <v>380</v>
      </c>
      <c r="K17" s="82" t="str">
        <f>IF('cuadro 1'!K17+'cuadro 2'!K17+'cuadro 3'!K17=0,"",'cuadro 1'!K17+'cuadro 2'!K17+'cuadro 3'!K17)</f>
        <v/>
      </c>
      <c r="L17" s="82" t="str">
        <f>IF('cuadro 1'!L17+'cuadro 2'!L17+'cuadro 3'!L17=0,"",'cuadro 1'!L17+'cuadro 2'!L17+'cuadro 3'!L17)</f>
        <v/>
      </c>
      <c r="M17" s="82" t="str">
        <f>IF('cuadro 1'!M17+'cuadro 2'!M17+'cuadro 3'!M17=0,"",'cuadro 1'!M17+'cuadro 2'!M17+'cuadro 3'!M17)</f>
        <v/>
      </c>
      <c r="N17" s="82" t="str">
        <f>IF('cuadro 1'!N17+'cuadro 2'!N17+'cuadro 3'!N17=0,"",'cuadro 1'!N17+'cuadro 2'!N17+'cuadro 3'!N17)</f>
        <v/>
      </c>
      <c r="O17" s="82" t="str">
        <f>IF('cuadro 1'!O17+'cuadro 2'!O17+'cuadro 3'!O17=0,"",'cuadro 1'!O17+'cuadro 2'!O17+'cuadro 3'!O17)</f>
        <v/>
      </c>
      <c r="P17" s="82" t="str">
        <f>IF('cuadro 1'!P17+'cuadro 2'!P17+'cuadro 3'!P17=0,"",'cuadro 1'!P17+'cuadro 2'!P17+'cuadro 3'!P17)</f>
        <v/>
      </c>
      <c r="Q17" s="82" t="str">
        <f>IF('cuadro 1'!Q17+'cuadro 2'!Q17+'cuadro 3'!Q17=0,"",'cuadro 1'!Q17+'cuadro 2'!Q17+'cuadro 3'!Q17)</f>
        <v/>
      </c>
      <c r="R17" s="132"/>
      <c r="S17" s="133"/>
    </row>
    <row r="18" spans="1:21" ht="24.95" customHeight="1" x14ac:dyDescent="0.2">
      <c r="A18" s="99"/>
      <c r="B18" s="83" t="s">
        <v>18</v>
      </c>
      <c r="C18" s="82" t="str">
        <f>IF('cuadro 1'!C18+'cuadro 2'!C18+'cuadro 3'!C18=0,"",'cuadro 1'!C18+'cuadro 2'!C18+'cuadro 3'!C18)</f>
        <v/>
      </c>
      <c r="D18" s="82" t="str">
        <f>IF('cuadro 1'!D18+'cuadro 2'!D18+'cuadro 3'!D18=0,"",'cuadro 1'!D18+'cuadro 2'!D18+'cuadro 3'!D18)</f>
        <v/>
      </c>
      <c r="E18" s="82" t="str">
        <f>IF('cuadro 1'!E18+'cuadro 2'!E18+'cuadro 3'!E18=0,"",'cuadro 1'!E18+'cuadro 2'!E18+'cuadro 3'!E18)</f>
        <v/>
      </c>
      <c r="F18" s="82" t="str">
        <f>IF('cuadro 1'!F18+'cuadro 2'!F18+'cuadro 3'!F18=0,"",'cuadro 1'!F18+'cuadro 2'!F18+'cuadro 3'!F18)</f>
        <v/>
      </c>
      <c r="G18" s="82" t="str">
        <f>IF('cuadro 1'!G18+'cuadro 2'!G18+'cuadro 3'!G18=0,"",'cuadro 1'!G18+'cuadro 2'!G18+'cuadro 3'!G18)</f>
        <v/>
      </c>
      <c r="H18" s="82" t="str">
        <f>IF('cuadro 1'!H18+'cuadro 2'!H18+'cuadro 3'!H18=0,"",'cuadro 1'!H18+'cuadro 2'!H18+'cuadro 3'!H18)</f>
        <v/>
      </c>
      <c r="I18" s="82" t="str">
        <f>IF('cuadro 1'!I18+'cuadro 2'!I18+'cuadro 3'!I18=0,"",'cuadro 1'!I18+'cuadro 2'!I18+'cuadro 3'!I18)</f>
        <v/>
      </c>
      <c r="J18" s="82" t="str">
        <f>IF('cuadro 1'!J18+'cuadro 2'!J18+'cuadro 3'!J18=0,"",'cuadro 1'!J18+'cuadro 2'!J18+'cuadro 3'!J18)</f>
        <v/>
      </c>
      <c r="K18" s="82" t="str">
        <f>IF('cuadro 1'!K18+'cuadro 2'!K18+'cuadro 3'!K18=0,"",'cuadro 1'!K18+'cuadro 2'!K18+'cuadro 3'!K18)</f>
        <v/>
      </c>
      <c r="L18" s="82" t="str">
        <f>IF('cuadro 1'!L18+'cuadro 2'!L18+'cuadro 3'!L18=0,"",'cuadro 1'!L18+'cuadro 2'!L18+'cuadro 3'!L18)</f>
        <v/>
      </c>
      <c r="M18" s="82" t="str">
        <f>IF('cuadro 1'!M18+'cuadro 2'!M18+'cuadro 3'!M18=0,"",'cuadro 1'!M18+'cuadro 2'!M18+'cuadro 3'!M18)</f>
        <v/>
      </c>
      <c r="N18" s="82" t="str">
        <f>IF('cuadro 1'!N18+'cuadro 2'!N18+'cuadro 3'!N18=0,"",'cuadro 1'!N18+'cuadro 2'!N18+'cuadro 3'!N18)</f>
        <v/>
      </c>
      <c r="O18" s="82" t="str">
        <f>IF('cuadro 1'!O18+'cuadro 2'!O18+'cuadro 3'!O18=0,"",'cuadro 1'!O18+'cuadro 2'!O18+'cuadro 3'!O18)</f>
        <v/>
      </c>
      <c r="P18" s="82" t="str">
        <f>IF('cuadro 1'!P18+'cuadro 2'!P18+'cuadro 3'!P18=0,"",'cuadro 1'!P18+'cuadro 2'!P18+'cuadro 3'!P18)</f>
        <v/>
      </c>
      <c r="Q18" s="82" t="str">
        <f>IF('cuadro 1'!Q18+'cuadro 2'!Q18+'cuadro 3'!Q18=0,"",'cuadro 1'!Q18+'cuadro 2'!Q18+'cuadro 3'!Q18)</f>
        <v/>
      </c>
      <c r="R18" s="130"/>
      <c r="S18" s="131"/>
    </row>
    <row r="19" spans="1:21" ht="24.95" customHeight="1" x14ac:dyDescent="0.2">
      <c r="A19" s="84" t="s">
        <v>23</v>
      </c>
      <c r="B19" s="83" t="s">
        <v>24</v>
      </c>
      <c r="C19" s="82" t="str">
        <f>IF('cuadro 1'!C19+'cuadro 2'!C19+'cuadro 3'!C19=0,"",'cuadro 1'!C19+'cuadro 2'!C19+'cuadro 3'!C19)</f>
        <v/>
      </c>
      <c r="D19" s="82" t="str">
        <f>IF('cuadro 1'!D19+'cuadro 2'!D19+'cuadro 3'!D19=0,"",'cuadro 1'!D19+'cuadro 2'!D19+'cuadro 3'!D19)</f>
        <v/>
      </c>
      <c r="E19" s="82" t="str">
        <f>IF('cuadro 1'!E19+'cuadro 2'!E19+'cuadro 3'!E19=0,"",'cuadro 1'!E19+'cuadro 2'!E19+'cuadro 3'!E19)</f>
        <v/>
      </c>
      <c r="F19" s="82" t="str">
        <f>IF('cuadro 1'!F19+'cuadro 2'!F19+'cuadro 3'!F19=0,"",'cuadro 1'!F19+'cuadro 2'!F19+'cuadro 3'!F19)</f>
        <v/>
      </c>
      <c r="G19" s="82" t="str">
        <f>IF('cuadro 1'!G19+'cuadro 2'!G19+'cuadro 3'!G19=0,"",'cuadro 1'!G19+'cuadro 2'!G19+'cuadro 3'!G19)</f>
        <v/>
      </c>
      <c r="H19" s="82" t="str">
        <f>IF('cuadro 1'!H19+'cuadro 2'!H19+'cuadro 3'!H19=0,"",'cuadro 1'!H19+'cuadro 2'!H19+'cuadro 3'!H19)</f>
        <v/>
      </c>
      <c r="I19" s="82" t="str">
        <f>IF('cuadro 1'!I19+'cuadro 2'!I19+'cuadro 3'!I19=0,"",'cuadro 1'!I19+'cuadro 2'!I19+'cuadro 3'!I19)</f>
        <v/>
      </c>
      <c r="J19" s="82">
        <f>IF('cuadro 1'!J19+'cuadro 2'!J19+'cuadro 3'!J19=0,"",'cuadro 1'!J19+'cuadro 2'!J19+'cuadro 3'!J19)</f>
        <v>111</v>
      </c>
      <c r="K19" s="82" t="str">
        <f>IF('cuadro 1'!K19+'cuadro 2'!K19+'cuadro 3'!K19=0,"",'cuadro 1'!K19+'cuadro 2'!K19+'cuadro 3'!K19)</f>
        <v/>
      </c>
      <c r="L19" s="82" t="str">
        <f>IF('cuadro 1'!L19+'cuadro 2'!L19+'cuadro 3'!L19=0,"",'cuadro 1'!L19+'cuadro 2'!L19+'cuadro 3'!L19)</f>
        <v/>
      </c>
      <c r="M19" s="82" t="str">
        <f>IF('cuadro 1'!M19+'cuadro 2'!M19+'cuadro 3'!M19=0,"",'cuadro 1'!M19+'cuadro 2'!M19+'cuadro 3'!M19)</f>
        <v/>
      </c>
      <c r="N19" s="82" t="str">
        <f>IF('cuadro 1'!N19+'cuadro 2'!N19+'cuadro 3'!N19=0,"",'cuadro 1'!N19+'cuadro 2'!N19+'cuadro 3'!N19)</f>
        <v/>
      </c>
      <c r="O19" s="82" t="str">
        <f>IF('cuadro 1'!O19+'cuadro 2'!O19+'cuadro 3'!O19=0,"",'cuadro 1'!O19+'cuadro 2'!O19+'cuadro 3'!O19)</f>
        <v/>
      </c>
      <c r="P19" s="82" t="str">
        <f>IF('cuadro 1'!P19+'cuadro 2'!P19+'cuadro 3'!P19=0,"",'cuadro 1'!P19+'cuadro 2'!P19+'cuadro 3'!P19)</f>
        <v/>
      </c>
      <c r="Q19" s="82" t="str">
        <f>IF('cuadro 1'!Q19+'cuadro 2'!Q19+'cuadro 3'!Q19=0,"",'cuadro 1'!Q19+'cuadro 2'!Q19+'cuadro 3'!Q19)</f>
        <v/>
      </c>
      <c r="R19" s="130"/>
      <c r="S19" s="131"/>
    </row>
    <row r="20" spans="1:21" ht="24.95" customHeight="1" x14ac:dyDescent="0.2">
      <c r="A20" s="84" t="s">
        <v>25</v>
      </c>
      <c r="B20" s="83" t="s">
        <v>24</v>
      </c>
      <c r="C20" s="82" t="str">
        <f>IF('cuadro 1'!C20+'cuadro 2'!C20+'cuadro 3'!C20=0,"",'cuadro 1'!C20+'cuadro 2'!C20+'cuadro 3'!C20)</f>
        <v/>
      </c>
      <c r="D20" s="82">
        <f>IF('cuadro 1'!D20+'cuadro 2'!D20+'cuadro 3'!D20=0,"",'cuadro 1'!D20+'cuadro 2'!D20+'cuadro 3'!D20)</f>
        <v>13</v>
      </c>
      <c r="E20" s="82" t="str">
        <f>IF('cuadro 1'!E20+'cuadro 2'!E20+'cuadro 3'!E20=0,"",'cuadro 1'!E20+'cuadro 2'!E20+'cuadro 3'!E20)</f>
        <v/>
      </c>
      <c r="F20" s="82" t="str">
        <f>IF('cuadro 1'!F20+'cuadro 2'!F20+'cuadro 3'!F20=0,"",'cuadro 1'!F20+'cuadro 2'!F20+'cuadro 3'!F20)</f>
        <v/>
      </c>
      <c r="G20" s="82" t="str">
        <f>IF('cuadro 1'!G20+'cuadro 2'!G20+'cuadro 3'!G20=0,"",'cuadro 1'!G20+'cuadro 2'!G20+'cuadro 3'!G20)</f>
        <v/>
      </c>
      <c r="H20" s="82" t="str">
        <f>IF('cuadro 1'!H20+'cuadro 2'!H20+'cuadro 3'!H20=0,"",'cuadro 1'!H20+'cuadro 2'!H20+'cuadro 3'!H20)</f>
        <v/>
      </c>
      <c r="I20" s="82" t="str">
        <f>IF('cuadro 1'!I20+'cuadro 2'!I20+'cuadro 3'!I20=0,"",'cuadro 1'!I20+'cuadro 2'!I20+'cuadro 3'!I20)</f>
        <v/>
      </c>
      <c r="J20" s="82" t="str">
        <f>IF('cuadro 1'!J20+'cuadro 2'!J20+'cuadro 3'!J20=0,"",'cuadro 1'!J20+'cuadro 2'!J20+'cuadro 3'!J20)</f>
        <v/>
      </c>
      <c r="K20" s="82" t="str">
        <f>IF('cuadro 1'!K20+'cuadro 2'!K20+'cuadro 3'!K20=0,"",'cuadro 1'!K20+'cuadro 2'!K20+'cuadro 3'!K20)</f>
        <v/>
      </c>
      <c r="L20" s="82" t="str">
        <f>IF('cuadro 1'!L20+'cuadro 2'!L20+'cuadro 3'!L20=0,"",'cuadro 1'!L20+'cuadro 2'!L20+'cuadro 3'!L20)</f>
        <v/>
      </c>
      <c r="M20" s="82" t="str">
        <f>IF('cuadro 1'!M20+'cuadro 2'!M20+'cuadro 3'!M20=0,"",'cuadro 1'!M20+'cuadro 2'!M20+'cuadro 3'!M20)</f>
        <v/>
      </c>
      <c r="N20" s="82" t="str">
        <f>IF('cuadro 1'!N20+'cuadro 2'!N20+'cuadro 3'!N20=0,"",'cuadro 1'!N20+'cuadro 2'!N20+'cuadro 3'!N20)</f>
        <v/>
      </c>
      <c r="O20" s="82" t="str">
        <f>IF('cuadro 1'!O20+'cuadro 2'!O20+'cuadro 3'!O20=0,"",'cuadro 1'!O20+'cuadro 2'!O20+'cuadro 3'!O20)</f>
        <v/>
      </c>
      <c r="P20" s="82" t="str">
        <f>IF('cuadro 1'!P20+'cuadro 2'!P20+'cuadro 3'!P20=0,"",'cuadro 1'!P20+'cuadro 2'!P20+'cuadro 3'!P20)</f>
        <v/>
      </c>
      <c r="Q20" s="82" t="str">
        <f>IF('cuadro 1'!Q20+'cuadro 2'!Q20+'cuadro 3'!Q20=0,"",'cuadro 1'!Q20+'cuadro 2'!Q20+'cuadro 3'!Q20)</f>
        <v/>
      </c>
      <c r="R20" s="130"/>
      <c r="S20" s="131"/>
    </row>
    <row r="21" spans="1:21" ht="24.95" customHeight="1" x14ac:dyDescent="0.2">
      <c r="A21" s="84" t="s">
        <v>26</v>
      </c>
      <c r="B21" s="83" t="s">
        <v>24</v>
      </c>
      <c r="C21" s="82" t="str">
        <f>IF('cuadro 1'!C21+'cuadro 2'!C21+'cuadro 3'!C21=0,"",'cuadro 1'!C21+'cuadro 2'!C21+'cuadro 3'!C21)</f>
        <v/>
      </c>
      <c r="D21" s="82">
        <f>IF('cuadro 1'!D21+'cuadro 2'!D21+'cuadro 3'!D21=0,"",'cuadro 1'!D21+'cuadro 2'!D21+'cuadro 3'!D21)</f>
        <v>23</v>
      </c>
      <c r="E21" s="82" t="str">
        <f>IF('cuadro 1'!E21+'cuadro 2'!E21+'cuadro 3'!E21=0,"",'cuadro 1'!E21+'cuadro 2'!E21+'cuadro 3'!E21)</f>
        <v/>
      </c>
      <c r="F21" s="82" t="str">
        <f>IF('cuadro 1'!F21+'cuadro 2'!F21+'cuadro 3'!F21=0,"",'cuadro 1'!F21+'cuadro 2'!F21+'cuadro 3'!F21)</f>
        <v/>
      </c>
      <c r="G21" s="82" t="str">
        <f>IF('cuadro 1'!G21+'cuadro 2'!G21+'cuadro 3'!G21=0,"",'cuadro 1'!G21+'cuadro 2'!G21+'cuadro 3'!G21)</f>
        <v/>
      </c>
      <c r="H21" s="82" t="str">
        <f>IF('cuadro 1'!H21+'cuadro 2'!H21+'cuadro 3'!H21=0,"",'cuadro 1'!H21+'cuadro 2'!H21+'cuadro 3'!H21)</f>
        <v/>
      </c>
      <c r="I21" s="82" t="str">
        <f>IF('cuadro 1'!I21+'cuadro 2'!I21+'cuadro 3'!I21=0,"",'cuadro 1'!I21+'cuadro 2'!I21+'cuadro 3'!I21)</f>
        <v/>
      </c>
      <c r="J21" s="82" t="str">
        <f>IF('cuadro 1'!J21+'cuadro 2'!J21+'cuadro 3'!J21=0,"",'cuadro 1'!J21+'cuadro 2'!J21+'cuadro 3'!J21)</f>
        <v/>
      </c>
      <c r="K21" s="82" t="str">
        <f>IF('cuadro 1'!K21+'cuadro 2'!K21+'cuadro 3'!K21=0,"",'cuadro 1'!K21+'cuadro 2'!K21+'cuadro 3'!K21)</f>
        <v/>
      </c>
      <c r="L21" s="82" t="str">
        <f>IF('cuadro 1'!L21+'cuadro 2'!L21+'cuadro 3'!L21=0,"",'cuadro 1'!L21+'cuadro 2'!L21+'cuadro 3'!L21)</f>
        <v/>
      </c>
      <c r="M21" s="82" t="str">
        <f>IF('cuadro 1'!M21+'cuadro 2'!M21+'cuadro 3'!M21=0,"",'cuadro 1'!M21+'cuadro 2'!M21+'cuadro 3'!M21)</f>
        <v/>
      </c>
      <c r="N21" s="82" t="str">
        <f>IF('cuadro 1'!N21+'cuadro 2'!N21+'cuadro 3'!N21=0,"",'cuadro 1'!N21+'cuadro 2'!N21+'cuadro 3'!N21)</f>
        <v/>
      </c>
      <c r="O21" s="82" t="str">
        <f>IF('cuadro 1'!O21+'cuadro 2'!O21+'cuadro 3'!O21=0,"",'cuadro 1'!O21+'cuadro 2'!O21+'cuadro 3'!O21)</f>
        <v/>
      </c>
      <c r="P21" s="82" t="str">
        <f>IF('cuadro 1'!P21+'cuadro 2'!P21+'cuadro 3'!P21=0,"",'cuadro 1'!P21+'cuadro 2'!P21+'cuadro 3'!P21)</f>
        <v/>
      </c>
      <c r="Q21" s="82" t="str">
        <f>IF('cuadro 1'!Q21+'cuadro 2'!Q21+'cuadro 3'!Q21=0,"",'cuadro 1'!Q21+'cuadro 2'!Q21+'cuadro 3'!Q21)</f>
        <v/>
      </c>
      <c r="R21" s="130"/>
      <c r="S21" s="131"/>
    </row>
    <row r="22" spans="1:21" ht="24.95" customHeight="1" x14ac:dyDescent="0.2">
      <c r="A22" s="84" t="s">
        <v>27</v>
      </c>
      <c r="B22" s="83" t="s">
        <v>18</v>
      </c>
      <c r="C22" s="82" t="str">
        <f>IF('cuadro 1'!C22+'cuadro 2'!C22+'cuadro 3'!C22=0,"",'cuadro 1'!C22+'cuadro 2'!C22+'cuadro 3'!C22)</f>
        <v/>
      </c>
      <c r="D22" s="82" t="str">
        <f>IF('cuadro 1'!D22+'cuadro 2'!D22+'cuadro 3'!D22=0,"",'cuadro 1'!D22+'cuadro 2'!D22+'cuadro 3'!D22)</f>
        <v/>
      </c>
      <c r="E22" s="82" t="str">
        <f>IF('cuadro 1'!E22+'cuadro 2'!E22+'cuadro 3'!E22=0,"",'cuadro 1'!E22+'cuadro 2'!E22+'cuadro 3'!E22)</f>
        <v/>
      </c>
      <c r="F22" s="82" t="str">
        <f>IF('cuadro 1'!F22+'cuadro 2'!F22+'cuadro 3'!F22=0,"",'cuadro 1'!F22+'cuadro 2'!F22+'cuadro 3'!F22)</f>
        <v/>
      </c>
      <c r="G22" s="82" t="str">
        <f>IF('cuadro 1'!G22+'cuadro 2'!G22+'cuadro 3'!G22=0,"",'cuadro 1'!G22+'cuadro 2'!G22+'cuadro 3'!G22)</f>
        <v/>
      </c>
      <c r="H22" s="82" t="str">
        <f>IF('cuadro 1'!H22+'cuadro 2'!H22+'cuadro 3'!H22=0,"",'cuadro 1'!H22+'cuadro 2'!H22+'cuadro 3'!H22)</f>
        <v/>
      </c>
      <c r="I22" s="82" t="str">
        <f>IF('cuadro 1'!I22+'cuadro 2'!I22+'cuadro 3'!I22=0,"",'cuadro 1'!I22+'cuadro 2'!I22+'cuadro 3'!I22)</f>
        <v/>
      </c>
      <c r="J22" s="82" t="str">
        <f>IF('cuadro 1'!J22+'cuadro 2'!J22+'cuadro 3'!J22=0,"",'cuadro 1'!J22+'cuadro 2'!J22+'cuadro 3'!J22)</f>
        <v/>
      </c>
      <c r="K22" s="82" t="str">
        <f>IF('cuadro 1'!K22+'cuadro 2'!K22+'cuadro 3'!K22=0,"",'cuadro 1'!K22+'cuadro 2'!K22+'cuadro 3'!K22)</f>
        <v/>
      </c>
      <c r="L22" s="82" t="str">
        <f>IF('cuadro 1'!L22+'cuadro 2'!L22+'cuadro 3'!L22=0,"",'cuadro 1'!L22+'cuadro 2'!L22+'cuadro 3'!L22)</f>
        <v/>
      </c>
      <c r="M22" s="82" t="str">
        <f>IF('cuadro 1'!M22+'cuadro 2'!M22+'cuadro 3'!M22=0,"",'cuadro 1'!M22+'cuadro 2'!M22+'cuadro 3'!M22)</f>
        <v/>
      </c>
      <c r="N22" s="82" t="str">
        <f>IF('cuadro 1'!N22+'cuadro 2'!N22+'cuadro 3'!N22=0,"",'cuadro 1'!N22+'cuadro 2'!N22+'cuadro 3'!N22)</f>
        <v/>
      </c>
      <c r="O22" s="82" t="str">
        <f>IF('cuadro 1'!O22+'cuadro 2'!O22+'cuadro 3'!O22=0,"",'cuadro 1'!O22+'cuadro 2'!O22+'cuadro 3'!O22)</f>
        <v/>
      </c>
      <c r="P22" s="82" t="str">
        <f>IF('cuadro 1'!P22+'cuadro 2'!P22+'cuadro 3'!P22=0,"",'cuadro 1'!P22+'cuadro 2'!P22+'cuadro 3'!P22)</f>
        <v/>
      </c>
      <c r="Q22" s="82" t="str">
        <f>IF('cuadro 1'!Q22+'cuadro 2'!Q22+'cuadro 3'!Q22=0,"",'cuadro 1'!Q22+'cuadro 2'!Q22+'cuadro 3'!Q22)</f>
        <v/>
      </c>
      <c r="R22" s="130"/>
      <c r="S22" s="131"/>
    </row>
    <row r="23" spans="1:21" ht="24.95" customHeight="1" x14ac:dyDescent="0.2">
      <c r="A23" s="80" t="s">
        <v>28</v>
      </c>
      <c r="B23" s="81" t="s">
        <v>17</v>
      </c>
      <c r="C23" s="82" t="str">
        <f>IF('cuadro 1'!C23+'cuadro 2'!C23+'cuadro 3'!C23=0,"",'cuadro 1'!C23+'cuadro 2'!C23+'cuadro 3'!C23)</f>
        <v/>
      </c>
      <c r="D23" s="82" t="str">
        <f>IF('cuadro 1'!D23+'cuadro 2'!D23+'cuadro 3'!D23=0,"",'cuadro 1'!D23+'cuadro 2'!D23+'cuadro 3'!D23)</f>
        <v/>
      </c>
      <c r="E23" s="82" t="str">
        <f>IF('cuadro 1'!E23+'cuadro 2'!E23+'cuadro 3'!E23=0,"",'cuadro 1'!E23+'cuadro 2'!E23+'cuadro 3'!E23)</f>
        <v/>
      </c>
      <c r="F23" s="82" t="str">
        <f>IF('cuadro 1'!F23+'cuadro 2'!F23+'cuadro 3'!F23=0,"",'cuadro 1'!F23+'cuadro 2'!F23+'cuadro 3'!F23)</f>
        <v/>
      </c>
      <c r="G23" s="82" t="str">
        <f>IF('cuadro 1'!G23+'cuadro 2'!G23+'cuadro 3'!G23=0,"",'cuadro 1'!G23+'cuadro 2'!G23+'cuadro 3'!G23)</f>
        <v/>
      </c>
      <c r="H23" s="82" t="str">
        <f>IF('cuadro 1'!H23+'cuadro 2'!H23+'cuadro 3'!H23=0,"",'cuadro 1'!H23+'cuadro 2'!H23+'cuadro 3'!H23)</f>
        <v/>
      </c>
      <c r="I23" s="82" t="str">
        <f>IF('cuadro 1'!I23+'cuadro 2'!I23+'cuadro 3'!I23=0,"",'cuadro 1'!I23+'cuadro 2'!I23+'cuadro 3'!I23)</f>
        <v/>
      </c>
      <c r="J23" s="82" t="str">
        <f>IF('cuadro 1'!J23+'cuadro 2'!J23+'cuadro 3'!J23=0,"",'cuadro 1'!J23+'cuadro 2'!J23+'cuadro 3'!J23)</f>
        <v/>
      </c>
      <c r="K23" s="82" t="str">
        <f>IF('cuadro 1'!K23+'cuadro 2'!K23+'cuadro 3'!K23=0,"",'cuadro 1'!K23+'cuadro 2'!K23+'cuadro 3'!K23)</f>
        <v/>
      </c>
      <c r="L23" s="82" t="str">
        <f>IF('cuadro 1'!L23+'cuadro 2'!L23+'cuadro 3'!L23=0,"",'cuadro 1'!L23+'cuadro 2'!L23+'cuadro 3'!L23)</f>
        <v/>
      </c>
      <c r="M23" s="82" t="str">
        <f>IF('cuadro 1'!M23+'cuadro 2'!M23+'cuadro 3'!M23=0,"",'cuadro 1'!M23+'cuadro 2'!M23+'cuadro 3'!M23)</f>
        <v/>
      </c>
      <c r="N23" s="82" t="str">
        <f>IF('cuadro 1'!N23+'cuadro 2'!N23+'cuadro 3'!N23=0,"",'cuadro 1'!N23+'cuadro 2'!N23+'cuadro 3'!N23)</f>
        <v/>
      </c>
      <c r="O23" s="82" t="str">
        <f>IF('cuadro 1'!O23+'cuadro 2'!O23+'cuadro 3'!O23=0,"",'cuadro 1'!O23+'cuadro 2'!O23+'cuadro 3'!O23)</f>
        <v/>
      </c>
      <c r="P23" s="82" t="str">
        <f>IF('cuadro 1'!P23+'cuadro 2'!P23+'cuadro 3'!P23=0,"",'cuadro 1'!P23+'cuadro 2'!P23+'cuadro 3'!P23)</f>
        <v/>
      </c>
      <c r="Q23" s="82" t="str">
        <f>IF('cuadro 1'!Q23+'cuadro 2'!Q23+'cuadro 3'!Q23=0,"",'cuadro 1'!Q23+'cuadro 2'!Q23+'cuadro 3'!Q23)</f>
        <v/>
      </c>
      <c r="R23" s="130"/>
      <c r="S23" s="131"/>
      <c r="U23" s="11"/>
    </row>
    <row r="24" spans="1:21" ht="24.95" customHeight="1" x14ac:dyDescent="0.2">
      <c r="A24" s="85" t="s">
        <v>29</v>
      </c>
      <c r="B24" s="83" t="s">
        <v>17</v>
      </c>
      <c r="C24" s="82" t="str">
        <f>IF('cuadro 1'!C24+'cuadro 2'!C24+'cuadro 3'!C24=0,"",'cuadro 1'!C24+'cuadro 2'!C24+'cuadro 3'!C24)</f>
        <v/>
      </c>
      <c r="D24" s="82" t="str">
        <f>IF('cuadro 1'!D24+'cuadro 2'!D24+'cuadro 3'!D24=0,"",'cuadro 1'!D24+'cuadro 2'!D24+'cuadro 3'!D24)</f>
        <v/>
      </c>
      <c r="E24" s="82" t="str">
        <f>IF('cuadro 1'!E24+'cuadro 2'!E24+'cuadro 3'!E24=0,"",'cuadro 1'!E24+'cuadro 2'!E24+'cuadro 3'!E24)</f>
        <v/>
      </c>
      <c r="F24" s="82" t="str">
        <f>IF('cuadro 1'!F24+'cuadro 2'!F24+'cuadro 3'!F24=0,"",'cuadro 1'!F24+'cuadro 2'!F24+'cuadro 3'!F24)</f>
        <v/>
      </c>
      <c r="G24" s="82" t="str">
        <f>IF('cuadro 1'!G24+'cuadro 2'!G24+'cuadro 3'!G24=0,"",'cuadro 1'!G24+'cuadro 2'!G24+'cuadro 3'!G24)</f>
        <v/>
      </c>
      <c r="H24" s="82" t="str">
        <f>IF('cuadro 1'!H24+'cuadro 2'!H24+'cuadro 3'!H24=0,"",'cuadro 1'!H24+'cuadro 2'!H24+'cuadro 3'!H24)</f>
        <v/>
      </c>
      <c r="I24" s="82" t="str">
        <f>IF('cuadro 1'!I24+'cuadro 2'!I24+'cuadro 3'!I24=0,"",'cuadro 1'!I24+'cuadro 2'!I24+'cuadro 3'!I24)</f>
        <v/>
      </c>
      <c r="J24" s="82" t="str">
        <f>IF('cuadro 1'!J24+'cuadro 2'!J24+'cuadro 3'!J24=0,"",'cuadro 1'!J24+'cuadro 2'!J24+'cuadro 3'!J24)</f>
        <v/>
      </c>
      <c r="K24" s="82" t="str">
        <f>IF('cuadro 1'!K24+'cuadro 2'!K24+'cuadro 3'!K24=0,"",'cuadro 1'!K24+'cuadro 2'!K24+'cuadro 3'!K24)</f>
        <v/>
      </c>
      <c r="L24" s="82" t="str">
        <f>IF('cuadro 1'!L24+'cuadro 2'!L24+'cuadro 3'!L24=0,"",'cuadro 1'!L24+'cuadro 2'!L24+'cuadro 3'!L24)</f>
        <v/>
      </c>
      <c r="M24" s="82" t="str">
        <f>IF('cuadro 1'!M24+'cuadro 2'!M24+'cuadro 3'!M24=0,"",'cuadro 1'!M24+'cuadro 2'!M24+'cuadro 3'!M24)</f>
        <v/>
      </c>
      <c r="N24" s="82" t="str">
        <f>IF('cuadro 1'!N24+'cuadro 2'!N24+'cuadro 3'!N24=0,"",'cuadro 1'!N24+'cuadro 2'!N24+'cuadro 3'!N24)</f>
        <v/>
      </c>
      <c r="O24" s="82" t="str">
        <f>IF('cuadro 1'!O24+'cuadro 2'!O24+'cuadro 3'!O24=0,"",'cuadro 1'!O24+'cuadro 2'!O24+'cuadro 3'!O24)</f>
        <v/>
      </c>
      <c r="P24" s="82" t="str">
        <f>IF('cuadro 1'!P24+'cuadro 2'!P24+'cuadro 3'!P24=0,"",'cuadro 1'!P24+'cuadro 2'!P24+'cuadro 3'!P24)</f>
        <v/>
      </c>
      <c r="Q24" s="82" t="str">
        <f>IF('cuadro 1'!Q24+'cuadro 2'!Q24+'cuadro 3'!Q24=0,"",'cuadro 1'!Q24+'cuadro 2'!Q24+'cuadro 3'!Q24)</f>
        <v/>
      </c>
      <c r="R24" s="130"/>
      <c r="S24" s="131"/>
      <c r="U24" s="11"/>
    </row>
    <row r="25" spans="1:21" ht="24.95" customHeight="1" x14ac:dyDescent="0.2">
      <c r="A25" s="90" t="s">
        <v>78</v>
      </c>
      <c r="B25" s="83" t="s">
        <v>18</v>
      </c>
      <c r="C25" s="82" t="str">
        <f>IF('cuadro 1'!C25+'cuadro 2'!C25+'cuadro 3'!C25=0,"",'cuadro 1'!C25+'cuadro 2'!C25+'cuadro 3'!C25)</f>
        <v/>
      </c>
      <c r="D25" s="82" t="str">
        <f>IF('cuadro 1'!D25+'cuadro 2'!D25+'cuadro 3'!D25=0,"",'cuadro 1'!D25+'cuadro 2'!D25+'cuadro 3'!D25)</f>
        <v/>
      </c>
      <c r="E25" s="82" t="str">
        <f>IF('cuadro 1'!E25+'cuadro 2'!E25+'cuadro 3'!E25=0,"",'cuadro 1'!E25+'cuadro 2'!E25+'cuadro 3'!E25)</f>
        <v/>
      </c>
      <c r="F25" s="82" t="str">
        <f>IF('cuadro 1'!F25+'cuadro 2'!F25+'cuadro 3'!F25=0,"",'cuadro 1'!F25+'cuadro 2'!F25+'cuadro 3'!F25)</f>
        <v/>
      </c>
      <c r="G25" s="82" t="str">
        <f>IF('cuadro 1'!G25+'cuadro 2'!G25+'cuadro 3'!G25=0,"",'cuadro 1'!G25+'cuadro 2'!G25+'cuadro 3'!G25)</f>
        <v/>
      </c>
      <c r="H25" s="82" t="str">
        <f>IF('cuadro 1'!H25+'cuadro 2'!H25+'cuadro 3'!H25=0,"",'cuadro 1'!H25+'cuadro 2'!H25+'cuadro 3'!H25)</f>
        <v/>
      </c>
      <c r="I25" s="82" t="str">
        <f>IF('cuadro 1'!I25+'cuadro 2'!I25+'cuadro 3'!I25=0,"",'cuadro 1'!I25+'cuadro 2'!I25+'cuadro 3'!I25)</f>
        <v/>
      </c>
      <c r="J25" s="82" t="str">
        <f>IF('cuadro 1'!J25+'cuadro 2'!J25+'cuadro 3'!J25=0,"",'cuadro 1'!J25+'cuadro 2'!J25+'cuadro 3'!J25)</f>
        <v/>
      </c>
      <c r="K25" s="82" t="str">
        <f>IF('cuadro 1'!K25+'cuadro 2'!K25+'cuadro 3'!K25=0,"",'cuadro 1'!K25+'cuadro 2'!K25+'cuadro 3'!K25)</f>
        <v/>
      </c>
      <c r="L25" s="82" t="str">
        <f>IF('cuadro 1'!L25+'cuadro 2'!L25+'cuadro 3'!L25=0,"",'cuadro 1'!L25+'cuadro 2'!L25+'cuadro 3'!L25)</f>
        <v/>
      </c>
      <c r="M25" s="82">
        <f>IF('cuadro 1'!M25+'cuadro 2'!M25+'cuadro 3'!M25=0,"",'cuadro 1'!M25+'cuadro 2'!M25+'cuadro 3'!M25)</f>
        <v>130</v>
      </c>
      <c r="N25" s="82" t="str">
        <f>IF('cuadro 1'!N25+'cuadro 2'!N25+'cuadro 3'!N25=0,"",'cuadro 1'!N25+'cuadro 2'!N25+'cuadro 3'!N25)</f>
        <v/>
      </c>
      <c r="O25" s="82" t="str">
        <f>IF('cuadro 1'!O25+'cuadro 2'!O25+'cuadro 3'!O25=0,"",'cuadro 1'!O25+'cuadro 2'!O25+'cuadro 3'!O25)</f>
        <v/>
      </c>
      <c r="P25" s="82" t="str">
        <f>IF('cuadro 1'!P25+'cuadro 2'!P25+'cuadro 3'!P25=0,"",'cuadro 1'!P25+'cuadro 2'!P25+'cuadro 3'!P25)</f>
        <v/>
      </c>
      <c r="Q25" s="82" t="str">
        <f>IF('cuadro 1'!Q25+'cuadro 2'!Q25+'cuadro 3'!Q25=0,"",'cuadro 1'!Q25+'cuadro 2'!Q25+'cuadro 3'!Q25)</f>
        <v/>
      </c>
      <c r="R25" s="130"/>
      <c r="S25" s="131"/>
    </row>
    <row r="26" spans="1:21" ht="24.95" customHeight="1" x14ac:dyDescent="0.2">
      <c r="A26" s="92"/>
      <c r="B26" s="83" t="s">
        <v>19</v>
      </c>
      <c r="C26" s="82" t="str">
        <f>IF('cuadro 1'!C26+'cuadro 2'!C26+'cuadro 3'!C26=0,"",'cuadro 1'!C26+'cuadro 2'!C26+'cuadro 3'!C26)</f>
        <v/>
      </c>
      <c r="D26" s="82" t="str">
        <f>IF('cuadro 1'!D26+'cuadro 2'!D26+'cuadro 3'!D26=0,"",'cuadro 1'!D26+'cuadro 2'!D26+'cuadro 3'!D26)</f>
        <v/>
      </c>
      <c r="E26" s="82" t="str">
        <f>IF('cuadro 1'!E26+'cuadro 2'!E26+'cuadro 3'!E26=0,"",'cuadro 1'!E26+'cuadro 2'!E26+'cuadro 3'!E26)</f>
        <v/>
      </c>
      <c r="F26" s="82" t="str">
        <f>IF('cuadro 1'!F26+'cuadro 2'!F26+'cuadro 3'!F26=0,"",'cuadro 1'!F26+'cuadro 2'!F26+'cuadro 3'!F26)</f>
        <v/>
      </c>
      <c r="G26" s="82" t="str">
        <f>IF('cuadro 1'!G26+'cuadro 2'!G26+'cuadro 3'!G26=0,"",'cuadro 1'!G26+'cuadro 2'!G26+'cuadro 3'!G26)</f>
        <v/>
      </c>
      <c r="H26" s="82" t="str">
        <f>IF('cuadro 1'!H26+'cuadro 2'!H26+'cuadro 3'!H26=0,"",'cuadro 1'!H26+'cuadro 2'!H26+'cuadro 3'!H26)</f>
        <v/>
      </c>
      <c r="I26" s="82" t="str">
        <f>IF('cuadro 1'!I26+'cuadro 2'!I26+'cuadro 3'!I26=0,"",'cuadro 1'!I26+'cuadro 2'!I26+'cuadro 3'!I26)</f>
        <v/>
      </c>
      <c r="J26" s="82" t="str">
        <f>IF('cuadro 1'!J26+'cuadro 2'!J26+'cuadro 3'!J26=0,"",'cuadro 1'!J26+'cuadro 2'!J26+'cuadro 3'!J26)</f>
        <v/>
      </c>
      <c r="K26" s="82" t="str">
        <f>IF('cuadro 1'!K26+'cuadro 2'!K26+'cuadro 3'!K26=0,"",'cuadro 1'!K26+'cuadro 2'!K26+'cuadro 3'!K26)</f>
        <v/>
      </c>
      <c r="L26" s="82" t="str">
        <f>IF('cuadro 1'!L26+'cuadro 2'!L26+'cuadro 3'!L26=0,"",'cuadro 1'!L26+'cuadro 2'!L26+'cuadro 3'!L26)</f>
        <v/>
      </c>
      <c r="M26" s="82">
        <f>IF('cuadro 1'!M26+'cuadro 2'!M26+'cuadro 3'!M26=0,"",'cuadro 1'!M26+'cuadro 2'!M26+'cuadro 3'!M26)</f>
        <v>130</v>
      </c>
      <c r="N26" s="82" t="str">
        <f>IF('cuadro 1'!N26+'cuadro 2'!N26+'cuadro 3'!N26=0,"",'cuadro 1'!N26+'cuadro 2'!N26+'cuadro 3'!N26)</f>
        <v/>
      </c>
      <c r="O26" s="82" t="str">
        <f>IF('cuadro 1'!O26+'cuadro 2'!O26+'cuadro 3'!O26=0,"",'cuadro 1'!O26+'cuadro 2'!O26+'cuadro 3'!O26)</f>
        <v/>
      </c>
      <c r="P26" s="82" t="str">
        <f>IF('cuadro 1'!P26+'cuadro 2'!P26+'cuadro 3'!P26=0,"",'cuadro 1'!P26+'cuadro 2'!P26+'cuadro 3'!P26)</f>
        <v/>
      </c>
      <c r="Q26" s="82" t="str">
        <f>IF('cuadro 1'!Q26+'cuadro 2'!Q26+'cuadro 3'!Q26=0,"",'cuadro 1'!Q26+'cuadro 2'!Q26+'cuadro 3'!Q26)</f>
        <v/>
      </c>
      <c r="R26" s="54"/>
      <c r="S26" s="55"/>
    </row>
    <row r="27" spans="1:21" ht="24.95" customHeight="1" x14ac:dyDescent="0.2">
      <c r="A27" s="90" t="s">
        <v>75</v>
      </c>
      <c r="B27" s="83" t="s">
        <v>18</v>
      </c>
      <c r="C27" s="82" t="str">
        <f>IF('cuadro 1'!C27+'cuadro 2'!C27+'cuadro 3'!C27=0,"",'cuadro 1'!C27+'cuadro 2'!C27+'cuadro 3'!C27)</f>
        <v/>
      </c>
      <c r="D27" s="82" t="str">
        <f>IF('cuadro 1'!D27+'cuadro 2'!D27+'cuadro 3'!D27=0,"",'cuadro 1'!D27+'cuadro 2'!D27+'cuadro 3'!D27)</f>
        <v/>
      </c>
      <c r="E27" s="82" t="str">
        <f>IF('cuadro 1'!E27+'cuadro 2'!E27+'cuadro 3'!E27=0,"",'cuadro 1'!E27+'cuadro 2'!E27+'cuadro 3'!E27)</f>
        <v/>
      </c>
      <c r="F27" s="82" t="str">
        <f>IF('cuadro 1'!F27+'cuadro 2'!F27+'cuadro 3'!F27=0,"",'cuadro 1'!F27+'cuadro 2'!F27+'cuadro 3'!F27)</f>
        <v/>
      </c>
      <c r="G27" s="82" t="str">
        <f>IF('cuadro 1'!G27+'cuadro 2'!G27+'cuadro 3'!G27=0,"",'cuadro 1'!G27+'cuadro 2'!G27+'cuadro 3'!G27)</f>
        <v/>
      </c>
      <c r="H27" s="82" t="str">
        <f>IF('cuadro 1'!H27+'cuadro 2'!H27+'cuadro 3'!H27=0,"",'cuadro 1'!H27+'cuadro 2'!H27+'cuadro 3'!H27)</f>
        <v/>
      </c>
      <c r="I27" s="82" t="str">
        <f>IF('cuadro 1'!I27+'cuadro 2'!I27+'cuadro 3'!I27=0,"",'cuadro 1'!I27+'cuadro 2'!I27+'cuadro 3'!I27)</f>
        <v/>
      </c>
      <c r="J27" s="82" t="str">
        <f>IF('cuadro 1'!J27+'cuadro 2'!J27+'cuadro 3'!J27=0,"",'cuadro 1'!J27+'cuadro 2'!J27+'cuadro 3'!J27)</f>
        <v/>
      </c>
      <c r="K27" s="82" t="str">
        <f>IF('cuadro 1'!K27+'cuadro 2'!K27+'cuadro 3'!K27=0,"",'cuadro 1'!K27+'cuadro 2'!K27+'cuadro 3'!K27)</f>
        <v/>
      </c>
      <c r="L27" s="82" t="str">
        <f>IF('cuadro 1'!L27+'cuadro 2'!L27+'cuadro 3'!L27=0,"",'cuadro 1'!L27+'cuadro 2'!L27+'cuadro 3'!L27)</f>
        <v/>
      </c>
      <c r="M27" s="82" t="str">
        <f>IF('cuadro 1'!M27+'cuadro 2'!M27+'cuadro 3'!M27=0,"",'cuadro 1'!M27+'cuadro 2'!M27+'cuadro 3'!M27)</f>
        <v/>
      </c>
      <c r="N27" s="82" t="str">
        <f>IF('cuadro 1'!N27+'cuadro 2'!N27+'cuadro 3'!N27=0,"",'cuadro 1'!N27+'cuadro 2'!N27+'cuadro 3'!N27)</f>
        <v/>
      </c>
      <c r="O27" s="82" t="str">
        <f>IF('cuadro 1'!O27+'cuadro 2'!O27+'cuadro 3'!O27=0,"",'cuadro 1'!O27+'cuadro 2'!O27+'cuadro 3'!O27)</f>
        <v/>
      </c>
      <c r="P27" s="82" t="str">
        <f>IF('cuadro 1'!P27+'cuadro 2'!P27+'cuadro 3'!P27=0,"",'cuadro 1'!P27+'cuadro 2'!P27+'cuadro 3'!P27)</f>
        <v/>
      </c>
      <c r="Q27" s="82" t="str">
        <f>IF('cuadro 1'!Q27+'cuadro 2'!Q27+'cuadro 3'!Q27=0,"",'cuadro 1'!Q27+'cuadro 2'!Q27+'cuadro 3'!Q27)</f>
        <v/>
      </c>
      <c r="R27" s="54"/>
      <c r="S27" s="55"/>
    </row>
    <row r="28" spans="1:21" ht="24.95" customHeight="1" x14ac:dyDescent="0.2">
      <c r="A28" s="91"/>
      <c r="B28" s="83" t="s">
        <v>17</v>
      </c>
      <c r="C28" s="82" t="str">
        <f>IF('cuadro 1'!C28+'cuadro 2'!C28+'cuadro 3'!C28=0,"",'cuadro 1'!C28+'cuadro 2'!C28+'cuadro 3'!C28)</f>
        <v/>
      </c>
      <c r="D28" s="82" t="str">
        <f>IF('cuadro 1'!D28+'cuadro 2'!D28+'cuadro 3'!D28=0,"",'cuadro 1'!D28+'cuadro 2'!D28+'cuadro 3'!D28)</f>
        <v/>
      </c>
      <c r="E28" s="82" t="str">
        <f>IF('cuadro 1'!E28+'cuadro 2'!E28+'cuadro 3'!E28=0,"",'cuadro 1'!E28+'cuadro 2'!E28+'cuadro 3'!E28)</f>
        <v/>
      </c>
      <c r="F28" s="82" t="str">
        <f>IF('cuadro 1'!F28+'cuadro 2'!F28+'cuadro 3'!F28=0,"",'cuadro 1'!F28+'cuadro 2'!F28+'cuadro 3'!F28)</f>
        <v/>
      </c>
      <c r="G28" s="82" t="str">
        <f>IF('cuadro 1'!G28+'cuadro 2'!G28+'cuadro 3'!G28=0,"",'cuadro 1'!G28+'cuadro 2'!G28+'cuadro 3'!G28)</f>
        <v/>
      </c>
      <c r="H28" s="82" t="str">
        <f>IF('cuadro 1'!H28+'cuadro 2'!H28+'cuadro 3'!H28=0,"",'cuadro 1'!H28+'cuadro 2'!H28+'cuadro 3'!H28)</f>
        <v/>
      </c>
      <c r="I28" s="82" t="str">
        <f>IF('cuadro 1'!I28+'cuadro 2'!I28+'cuadro 3'!I28=0,"",'cuadro 1'!I28+'cuadro 2'!I28+'cuadro 3'!I28)</f>
        <v/>
      </c>
      <c r="J28" s="82" t="str">
        <f>IF('cuadro 1'!J28+'cuadro 2'!J28+'cuadro 3'!J28=0,"",'cuadro 1'!J28+'cuadro 2'!J28+'cuadro 3'!J28)</f>
        <v/>
      </c>
      <c r="K28" s="82" t="str">
        <f>IF('cuadro 1'!K28+'cuadro 2'!K28+'cuadro 3'!K28=0,"",'cuadro 1'!K28+'cuadro 2'!K28+'cuadro 3'!K28)</f>
        <v/>
      </c>
      <c r="L28" s="82" t="str">
        <f>IF('cuadro 1'!L28+'cuadro 2'!L28+'cuadro 3'!L28=0,"",'cuadro 1'!L28+'cuadro 2'!L28+'cuadro 3'!L28)</f>
        <v/>
      </c>
      <c r="M28" s="82" t="str">
        <f>IF('cuadro 1'!M28+'cuadro 2'!M28+'cuadro 3'!M28=0,"",'cuadro 1'!M28+'cuadro 2'!M28+'cuadro 3'!M28)</f>
        <v/>
      </c>
      <c r="N28" s="82" t="str">
        <f>IF('cuadro 1'!N28+'cuadro 2'!N28+'cuadro 3'!N28=0,"",'cuadro 1'!N28+'cuadro 2'!N28+'cuadro 3'!N28)</f>
        <v/>
      </c>
      <c r="O28" s="82" t="str">
        <f>IF('cuadro 1'!O28+'cuadro 2'!O28+'cuadro 3'!O28=0,"",'cuadro 1'!O28+'cuadro 2'!O28+'cuadro 3'!O28)</f>
        <v/>
      </c>
      <c r="P28" s="82" t="str">
        <f>IF('cuadro 1'!P28+'cuadro 2'!P28+'cuadro 3'!P28=0,"",'cuadro 1'!P28+'cuadro 2'!P28+'cuadro 3'!P28)</f>
        <v/>
      </c>
      <c r="Q28" s="82" t="str">
        <f>IF('cuadro 1'!Q28+'cuadro 2'!Q28+'cuadro 3'!Q28=0,"",'cuadro 1'!Q28+'cuadro 2'!Q28+'cuadro 3'!Q28)</f>
        <v/>
      </c>
      <c r="R28" s="54"/>
      <c r="S28" s="55"/>
    </row>
    <row r="29" spans="1:21" ht="24.95" customHeight="1" x14ac:dyDescent="0.2">
      <c r="A29" s="92"/>
      <c r="B29" s="83" t="s">
        <v>16</v>
      </c>
      <c r="C29" s="82" t="str">
        <f>IF('cuadro 1'!C29+'cuadro 2'!C29+'cuadro 3'!C29=0,"",'cuadro 1'!C29+'cuadro 2'!C29+'cuadro 3'!C29)</f>
        <v/>
      </c>
      <c r="D29" s="82" t="str">
        <f>IF('cuadro 1'!D29+'cuadro 2'!D29+'cuadro 3'!D29=0,"",'cuadro 1'!D29+'cuadro 2'!D29+'cuadro 3'!D29)</f>
        <v/>
      </c>
      <c r="E29" s="82" t="str">
        <f>IF('cuadro 1'!E29+'cuadro 2'!E29+'cuadro 3'!E29=0,"",'cuadro 1'!E29+'cuadro 2'!E29+'cuadro 3'!E29)</f>
        <v/>
      </c>
      <c r="F29" s="82" t="str">
        <f>IF('cuadro 1'!F29+'cuadro 2'!F29+'cuadro 3'!F29=0,"",'cuadro 1'!F29+'cuadro 2'!F29+'cuadro 3'!F29)</f>
        <v/>
      </c>
      <c r="G29" s="82" t="str">
        <f>IF('cuadro 1'!G29+'cuadro 2'!G29+'cuadro 3'!G29=0,"",'cuadro 1'!G29+'cuadro 2'!G29+'cuadro 3'!G29)</f>
        <v/>
      </c>
      <c r="H29" s="82" t="str">
        <f>IF('cuadro 1'!H29+'cuadro 2'!H29+'cuadro 3'!H29=0,"",'cuadro 1'!H29+'cuadro 2'!H29+'cuadro 3'!H29)</f>
        <v/>
      </c>
      <c r="I29" s="82" t="str">
        <f>IF('cuadro 1'!I29+'cuadro 2'!I29+'cuadro 3'!I29=0,"",'cuadro 1'!I29+'cuadro 2'!I29+'cuadro 3'!I29)</f>
        <v/>
      </c>
      <c r="J29" s="82" t="str">
        <f>IF('cuadro 1'!J29+'cuadro 2'!J29+'cuadro 3'!J29=0,"",'cuadro 1'!J29+'cuadro 2'!J29+'cuadro 3'!J29)</f>
        <v/>
      </c>
      <c r="K29" s="82" t="str">
        <f>IF('cuadro 1'!K29+'cuadro 2'!K29+'cuadro 3'!K29=0,"",'cuadro 1'!K29+'cuadro 2'!K29+'cuadro 3'!K29)</f>
        <v/>
      </c>
      <c r="L29" s="82" t="str">
        <f>IF('cuadro 1'!L29+'cuadro 2'!L29+'cuadro 3'!L29=0,"",'cuadro 1'!L29+'cuadro 2'!L29+'cuadro 3'!L29)</f>
        <v/>
      </c>
      <c r="M29" s="82" t="str">
        <f>IF('cuadro 1'!M29+'cuadro 2'!M29+'cuadro 3'!M29=0,"",'cuadro 1'!M29+'cuadro 2'!M29+'cuadro 3'!M29)</f>
        <v/>
      </c>
      <c r="N29" s="82" t="str">
        <f>IF('cuadro 1'!N29+'cuadro 2'!N29+'cuadro 3'!N29=0,"",'cuadro 1'!N29+'cuadro 2'!N29+'cuadro 3'!N29)</f>
        <v/>
      </c>
      <c r="O29" s="82" t="str">
        <f>IF('cuadro 1'!O29+'cuadro 2'!O29+'cuadro 3'!O29=0,"",'cuadro 1'!O29+'cuadro 2'!O29+'cuadro 3'!O29)</f>
        <v/>
      </c>
      <c r="P29" s="82" t="str">
        <f>IF('cuadro 1'!P29+'cuadro 2'!P29+'cuadro 3'!P29=0,"",'cuadro 1'!P29+'cuadro 2'!P29+'cuadro 3'!P29)</f>
        <v/>
      </c>
      <c r="Q29" s="82" t="str">
        <f>IF('cuadro 1'!Q29+'cuadro 2'!Q29+'cuadro 3'!Q29=0,"",'cuadro 1'!Q29+'cuadro 2'!Q29+'cuadro 3'!Q29)</f>
        <v/>
      </c>
      <c r="R29" s="54"/>
      <c r="S29" s="55"/>
    </row>
    <row r="30" spans="1:21" ht="24.95" customHeight="1" x14ac:dyDescent="0.2">
      <c r="A30" s="90" t="s">
        <v>104</v>
      </c>
      <c r="B30" s="83" t="s">
        <v>18</v>
      </c>
      <c r="C30" s="82" t="str">
        <f>IF('cuadro 1'!C30+'cuadro 2'!C30+'cuadro 3'!C30=0,"",'cuadro 1'!C30+'cuadro 2'!C30+'cuadro 3'!C30)</f>
        <v/>
      </c>
      <c r="D30" s="82" t="str">
        <f>IF('cuadro 1'!D30+'cuadro 2'!D30+'cuadro 3'!D30=0,"",'cuadro 1'!D30+'cuadro 2'!D30+'cuadro 3'!D30)</f>
        <v/>
      </c>
      <c r="E30" s="82" t="str">
        <f>IF('cuadro 1'!E30+'cuadro 2'!E30+'cuadro 3'!E30=0,"",'cuadro 1'!E30+'cuadro 2'!E30+'cuadro 3'!E30)</f>
        <v/>
      </c>
      <c r="F30" s="82" t="str">
        <f>IF('cuadro 1'!F30+'cuadro 2'!F30+'cuadro 3'!F30=0,"",'cuadro 1'!F30+'cuadro 2'!F30+'cuadro 3'!F30)</f>
        <v/>
      </c>
      <c r="G30" s="82" t="str">
        <f>IF('cuadro 1'!G30+'cuadro 2'!G30+'cuadro 3'!G30=0,"",'cuadro 1'!G30+'cuadro 2'!G30+'cuadro 3'!G30)</f>
        <v/>
      </c>
      <c r="H30" s="82" t="str">
        <f>IF('cuadro 1'!H30+'cuadro 2'!H30+'cuadro 3'!H30=0,"",'cuadro 1'!H30+'cuadro 2'!H30+'cuadro 3'!H30)</f>
        <v/>
      </c>
      <c r="I30" s="82" t="str">
        <f>IF('cuadro 1'!I30+'cuadro 2'!I30+'cuadro 3'!I30=0,"",'cuadro 1'!I30+'cuadro 2'!I30+'cuadro 3'!I30)</f>
        <v/>
      </c>
      <c r="J30" s="82" t="str">
        <f>IF('cuadro 1'!J30+'cuadro 2'!J30+'cuadro 3'!J30=0,"",'cuadro 1'!J30+'cuadro 2'!J30+'cuadro 3'!J30)</f>
        <v/>
      </c>
      <c r="K30" s="82" t="str">
        <f>IF('cuadro 1'!K30+'cuadro 2'!K30+'cuadro 3'!K30=0,"",'cuadro 1'!K30+'cuadro 2'!K30+'cuadro 3'!K30)</f>
        <v/>
      </c>
      <c r="L30" s="82" t="str">
        <f>IF('cuadro 1'!L30+'cuadro 2'!L30+'cuadro 3'!L30=0,"",'cuadro 1'!L30+'cuadro 2'!L30+'cuadro 3'!L30)</f>
        <v/>
      </c>
      <c r="M30" s="82" t="str">
        <f>IF('cuadro 1'!M30+'cuadro 2'!M30+'cuadro 3'!M30=0,"",'cuadro 1'!M30+'cuadro 2'!M30+'cuadro 3'!M30)</f>
        <v/>
      </c>
      <c r="N30" s="82" t="str">
        <f>IF('cuadro 1'!N30+'cuadro 2'!N30+'cuadro 3'!N30=0,"",'cuadro 1'!N30+'cuadro 2'!N30+'cuadro 3'!N30)</f>
        <v/>
      </c>
      <c r="O30" s="82" t="str">
        <f>IF('cuadro 1'!O30+'cuadro 2'!O30+'cuadro 3'!O30=0,"",'cuadro 1'!O30+'cuadro 2'!O30+'cuadro 3'!O30)</f>
        <v/>
      </c>
      <c r="P30" s="82" t="str">
        <f>IF('cuadro 1'!P30+'cuadro 2'!P30+'cuadro 3'!P30=0,"",'cuadro 1'!P30+'cuadro 2'!P30+'cuadro 3'!P30)</f>
        <v/>
      </c>
      <c r="Q30" s="82" t="str">
        <f>IF('cuadro 1'!Q30+'cuadro 2'!Q30+'cuadro 3'!Q30=0,"",'cuadro 1'!Q30+'cuadro 2'!Q30+'cuadro 3'!Q30)</f>
        <v/>
      </c>
      <c r="R30" s="54"/>
      <c r="S30" s="55"/>
    </row>
    <row r="31" spans="1:21" ht="24.95" customHeight="1" x14ac:dyDescent="0.2">
      <c r="A31" s="91"/>
      <c r="B31" s="83" t="s">
        <v>17</v>
      </c>
      <c r="C31" s="82" t="str">
        <f>IF('cuadro 1'!C31+'cuadro 2'!C31+'cuadro 3'!C31=0,"",'cuadro 1'!C31+'cuadro 2'!C31+'cuadro 3'!C31)</f>
        <v/>
      </c>
      <c r="D31" s="82" t="str">
        <f>IF('cuadro 1'!D31+'cuadro 2'!D31+'cuadro 3'!D31=0,"",'cuadro 1'!D31+'cuadro 2'!D31+'cuadro 3'!D31)</f>
        <v/>
      </c>
      <c r="E31" s="82" t="str">
        <f>IF('cuadro 1'!E31+'cuadro 2'!E31+'cuadro 3'!E31=0,"",'cuadro 1'!E31+'cuadro 2'!E31+'cuadro 3'!E31)</f>
        <v/>
      </c>
      <c r="F31" s="82" t="str">
        <f>IF('cuadro 1'!F31+'cuadro 2'!F31+'cuadro 3'!F31=0,"",'cuadro 1'!F31+'cuadro 2'!F31+'cuadro 3'!F31)</f>
        <v/>
      </c>
      <c r="G31" s="82" t="str">
        <f>IF('cuadro 1'!G31+'cuadro 2'!G31+'cuadro 3'!G31=0,"",'cuadro 1'!G31+'cuadro 2'!G31+'cuadro 3'!G31)</f>
        <v/>
      </c>
      <c r="H31" s="82" t="str">
        <f>IF('cuadro 1'!H31+'cuadro 2'!H31+'cuadro 3'!H31=0,"",'cuadro 1'!H31+'cuadro 2'!H31+'cuadro 3'!H31)</f>
        <v/>
      </c>
      <c r="I31" s="82" t="str">
        <f>IF('cuadro 1'!I31+'cuadro 2'!I31+'cuadro 3'!I31=0,"",'cuadro 1'!I31+'cuadro 2'!I31+'cuadro 3'!I31)</f>
        <v/>
      </c>
      <c r="J31" s="82" t="str">
        <f>IF('cuadro 1'!J31+'cuadro 2'!J31+'cuadro 3'!J31=0,"",'cuadro 1'!J31+'cuadro 2'!J31+'cuadro 3'!J31)</f>
        <v/>
      </c>
      <c r="K31" s="82" t="str">
        <f>IF('cuadro 1'!K31+'cuadro 2'!K31+'cuadro 3'!K31=0,"",'cuadro 1'!K31+'cuadro 2'!K31+'cuadro 3'!K31)</f>
        <v/>
      </c>
      <c r="L31" s="82" t="str">
        <f>IF('cuadro 1'!L31+'cuadro 2'!L31+'cuadro 3'!L31=0,"",'cuadro 1'!L31+'cuadro 2'!L31+'cuadro 3'!L31)</f>
        <v/>
      </c>
      <c r="M31" s="82" t="str">
        <f>IF('cuadro 1'!M31+'cuadro 2'!M31+'cuadro 3'!M31=0,"",'cuadro 1'!M31+'cuadro 2'!M31+'cuadro 3'!M31)</f>
        <v/>
      </c>
      <c r="N31" s="82" t="str">
        <f>IF('cuadro 1'!N31+'cuadro 2'!N31+'cuadro 3'!N31=0,"",'cuadro 1'!N31+'cuadro 2'!N31+'cuadro 3'!N31)</f>
        <v/>
      </c>
      <c r="O31" s="82" t="str">
        <f>IF('cuadro 1'!O31+'cuadro 2'!O31+'cuadro 3'!O31=0,"",'cuadro 1'!O31+'cuadro 2'!O31+'cuadro 3'!O31)</f>
        <v/>
      </c>
      <c r="P31" s="82" t="str">
        <f>IF('cuadro 1'!P31+'cuadro 2'!P31+'cuadro 3'!P31=0,"",'cuadro 1'!P31+'cuadro 2'!P31+'cuadro 3'!P31)</f>
        <v/>
      </c>
      <c r="Q31" s="82" t="str">
        <f>IF('cuadro 1'!Q31+'cuadro 2'!Q31+'cuadro 3'!Q31=0,"",'cuadro 1'!Q31+'cuadro 2'!Q31+'cuadro 3'!Q31)</f>
        <v/>
      </c>
      <c r="R31" s="54"/>
      <c r="S31" s="55"/>
    </row>
    <row r="32" spans="1:21" ht="24.95" customHeight="1" x14ac:dyDescent="0.2">
      <c r="A32" s="91"/>
      <c r="B32" s="83" t="s">
        <v>16</v>
      </c>
      <c r="C32" s="82" t="str">
        <f>IF('cuadro 1'!C32+'cuadro 2'!C32+'cuadro 3'!C32=0,"",'cuadro 1'!C32+'cuadro 2'!C32+'cuadro 3'!C32)</f>
        <v/>
      </c>
      <c r="D32" s="82" t="str">
        <f>IF('cuadro 1'!D32+'cuadro 2'!D32+'cuadro 3'!D32=0,"",'cuadro 1'!D32+'cuadro 2'!D32+'cuadro 3'!D32)</f>
        <v/>
      </c>
      <c r="E32" s="82" t="str">
        <f>IF('cuadro 1'!E32+'cuadro 2'!E32+'cuadro 3'!E32=0,"",'cuadro 1'!E32+'cuadro 2'!E32+'cuadro 3'!E32)</f>
        <v/>
      </c>
      <c r="F32" s="82" t="str">
        <f>IF('cuadro 1'!F32+'cuadro 2'!F32+'cuadro 3'!F32=0,"",'cuadro 1'!F32+'cuadro 2'!F32+'cuadro 3'!F32)</f>
        <v/>
      </c>
      <c r="G32" s="82" t="str">
        <f>IF('cuadro 1'!G32+'cuadro 2'!G32+'cuadro 3'!G32=0,"",'cuadro 1'!G32+'cuadro 2'!G32+'cuadro 3'!G32)</f>
        <v/>
      </c>
      <c r="H32" s="82" t="str">
        <f>IF('cuadro 1'!H32+'cuadro 2'!H32+'cuadro 3'!H32=0,"",'cuadro 1'!H32+'cuadro 2'!H32+'cuadro 3'!H32)</f>
        <v/>
      </c>
      <c r="I32" s="82" t="str">
        <f>IF('cuadro 1'!I32+'cuadro 2'!I32+'cuadro 3'!I32=0,"",'cuadro 1'!I32+'cuadro 2'!I32+'cuadro 3'!I32)</f>
        <v/>
      </c>
      <c r="J32" s="82" t="str">
        <f>IF('cuadro 1'!J32+'cuadro 2'!J32+'cuadro 3'!J32=0,"",'cuadro 1'!J32+'cuadro 2'!J32+'cuadro 3'!J32)</f>
        <v/>
      </c>
      <c r="K32" s="82" t="str">
        <f>IF('cuadro 1'!K32+'cuadro 2'!K32+'cuadro 3'!K32=0,"",'cuadro 1'!K32+'cuadro 2'!K32+'cuadro 3'!K32)</f>
        <v/>
      </c>
      <c r="L32" s="82" t="str">
        <f>IF('cuadro 1'!L32+'cuadro 2'!L32+'cuadro 3'!L32=0,"",'cuadro 1'!L32+'cuadro 2'!L32+'cuadro 3'!L32)</f>
        <v/>
      </c>
      <c r="M32" s="82" t="str">
        <f>IF('cuadro 1'!M32+'cuadro 2'!M32+'cuadro 3'!M32=0,"",'cuadro 1'!M32+'cuadro 2'!M32+'cuadro 3'!M32)</f>
        <v/>
      </c>
      <c r="N32" s="82" t="str">
        <f>IF('cuadro 1'!N32+'cuadro 2'!N32+'cuadro 3'!N32=0,"",'cuadro 1'!N32+'cuadro 2'!N32+'cuadro 3'!N32)</f>
        <v/>
      </c>
      <c r="O32" s="82" t="str">
        <f>IF('cuadro 1'!O32+'cuadro 2'!O32+'cuadro 3'!O32=0,"",'cuadro 1'!O32+'cuadro 2'!O32+'cuadro 3'!O32)</f>
        <v/>
      </c>
      <c r="P32" s="82" t="str">
        <f>IF('cuadro 1'!P32+'cuadro 2'!P32+'cuadro 3'!P32=0,"",'cuadro 1'!P32+'cuadro 2'!P32+'cuadro 3'!P32)</f>
        <v/>
      </c>
      <c r="Q32" s="82" t="str">
        <f>IF('cuadro 1'!Q32+'cuadro 2'!Q32+'cuadro 3'!Q32=0,"",'cuadro 1'!Q32+'cuadro 2'!Q32+'cuadro 3'!Q32)</f>
        <v/>
      </c>
      <c r="R32" s="54"/>
      <c r="S32" s="55"/>
    </row>
    <row r="33" spans="1:19" ht="24.95" customHeight="1" x14ac:dyDescent="0.2">
      <c r="A33" s="92"/>
      <c r="B33" s="83" t="s">
        <v>19</v>
      </c>
      <c r="C33" s="82" t="str">
        <f>IF('cuadro 1'!C33+'cuadro 2'!C33+'cuadro 3'!C33=0,"",'cuadro 1'!C33+'cuadro 2'!C33+'cuadro 3'!C33)</f>
        <v/>
      </c>
      <c r="D33" s="82" t="str">
        <f>IF('cuadro 1'!D33+'cuadro 2'!D33+'cuadro 3'!D33=0,"",'cuadro 1'!D33+'cuadro 2'!D33+'cuadro 3'!D33)</f>
        <v/>
      </c>
      <c r="E33" s="82" t="str">
        <f>IF('cuadro 1'!E33+'cuadro 2'!E33+'cuadro 3'!E33=0,"",'cuadro 1'!E33+'cuadro 2'!E33+'cuadro 3'!E33)</f>
        <v/>
      </c>
      <c r="F33" s="82" t="str">
        <f>IF('cuadro 1'!F33+'cuadro 2'!F33+'cuadro 3'!F33=0,"",'cuadro 1'!F33+'cuadro 2'!F33+'cuadro 3'!F33)</f>
        <v/>
      </c>
      <c r="G33" s="82" t="str">
        <f>IF('cuadro 1'!G33+'cuadro 2'!G33+'cuadro 3'!G33=0,"",'cuadro 1'!G33+'cuadro 2'!G33+'cuadro 3'!G33)</f>
        <v/>
      </c>
      <c r="H33" s="82" t="str">
        <f>IF('cuadro 1'!H33+'cuadro 2'!H33+'cuadro 3'!H33=0,"",'cuadro 1'!H33+'cuadro 2'!H33+'cuadro 3'!H33)</f>
        <v/>
      </c>
      <c r="I33" s="82" t="str">
        <f>IF('cuadro 1'!I33+'cuadro 2'!I33+'cuadro 3'!I33=0,"",'cuadro 1'!I33+'cuadro 2'!I33+'cuadro 3'!I33)</f>
        <v/>
      </c>
      <c r="J33" s="82" t="str">
        <f>IF('cuadro 1'!J33+'cuadro 2'!J33+'cuadro 3'!J33=0,"",'cuadro 1'!J33+'cuadro 2'!J33+'cuadro 3'!J33)</f>
        <v/>
      </c>
      <c r="K33" s="82" t="str">
        <f>IF('cuadro 1'!K33+'cuadro 2'!K33+'cuadro 3'!K33=0,"",'cuadro 1'!K33+'cuadro 2'!K33+'cuadro 3'!K33)</f>
        <v/>
      </c>
      <c r="L33" s="82" t="str">
        <f>IF('cuadro 1'!L33+'cuadro 2'!L33+'cuadro 3'!L33=0,"",'cuadro 1'!L33+'cuadro 2'!L33+'cuadro 3'!L33)</f>
        <v/>
      </c>
      <c r="M33" s="82" t="str">
        <f>IF('cuadro 1'!M33+'cuadro 2'!M33+'cuadro 3'!M33=0,"",'cuadro 1'!M33+'cuadro 2'!M33+'cuadro 3'!M33)</f>
        <v/>
      </c>
      <c r="N33" s="82" t="str">
        <f>IF('cuadro 1'!N33+'cuadro 2'!N33+'cuadro 3'!N33=0,"",'cuadro 1'!N33+'cuadro 2'!N33+'cuadro 3'!N33)</f>
        <v/>
      </c>
      <c r="O33" s="82" t="str">
        <f>IF('cuadro 1'!O33+'cuadro 2'!O33+'cuadro 3'!O33=0,"",'cuadro 1'!O33+'cuadro 2'!O33+'cuadro 3'!O33)</f>
        <v/>
      </c>
      <c r="P33" s="82" t="str">
        <f>IF('cuadro 1'!P33+'cuadro 2'!P33+'cuadro 3'!P33=0,"",'cuadro 1'!P33+'cuadro 2'!P33+'cuadro 3'!P33)</f>
        <v/>
      </c>
      <c r="Q33" s="82" t="str">
        <f>IF('cuadro 1'!Q33+'cuadro 2'!Q33+'cuadro 3'!Q33=0,"",'cuadro 1'!Q33+'cuadro 2'!Q33+'cuadro 3'!Q33)</f>
        <v/>
      </c>
      <c r="R33" s="54"/>
      <c r="S33" s="55"/>
    </row>
    <row r="34" spans="1:19" ht="24.95" customHeight="1" x14ac:dyDescent="0.2">
      <c r="A34" s="93" t="s">
        <v>105</v>
      </c>
      <c r="B34" s="83" t="s">
        <v>18</v>
      </c>
      <c r="C34" s="82" t="str">
        <f>IF('cuadro 1'!C34+'cuadro 2'!C34+'cuadro 3'!C34=0,"",'cuadro 1'!C34+'cuadro 2'!C34+'cuadro 3'!C34)</f>
        <v/>
      </c>
      <c r="D34" s="82" t="str">
        <f>IF('cuadro 1'!D34+'cuadro 2'!D34+'cuadro 3'!D34=0,"",'cuadro 1'!D34+'cuadro 2'!D34+'cuadro 3'!D34)</f>
        <v/>
      </c>
      <c r="E34" s="82" t="str">
        <f>IF('cuadro 1'!E34+'cuadro 2'!E34+'cuadro 3'!E34=0,"",'cuadro 1'!E34+'cuadro 2'!E34+'cuadro 3'!E34)</f>
        <v/>
      </c>
      <c r="F34" s="82" t="str">
        <f>IF('cuadro 1'!F34+'cuadro 2'!F34+'cuadro 3'!F34=0,"",'cuadro 1'!F34+'cuadro 2'!F34+'cuadro 3'!F34)</f>
        <v/>
      </c>
      <c r="G34" s="82" t="str">
        <f>IF('cuadro 1'!G34+'cuadro 2'!G34+'cuadro 3'!G34=0,"",'cuadro 1'!G34+'cuadro 2'!G34+'cuadro 3'!G34)</f>
        <v/>
      </c>
      <c r="H34" s="82" t="str">
        <f>IF('cuadro 1'!H34+'cuadro 2'!H34+'cuadro 3'!H34=0,"",'cuadro 1'!H34+'cuadro 2'!H34+'cuadro 3'!H34)</f>
        <v/>
      </c>
      <c r="I34" s="82" t="str">
        <f>IF('cuadro 1'!I34+'cuadro 2'!I34+'cuadro 3'!I34=0,"",'cuadro 1'!I34+'cuadro 2'!I34+'cuadro 3'!I34)</f>
        <v/>
      </c>
      <c r="J34" s="82" t="str">
        <f>IF('cuadro 1'!J34+'cuadro 2'!J34+'cuadro 3'!J34=0,"",'cuadro 1'!J34+'cuadro 2'!J34+'cuadro 3'!J34)</f>
        <v/>
      </c>
      <c r="K34" s="82" t="str">
        <f>IF('cuadro 1'!K34+'cuadro 2'!K34+'cuadro 3'!K34=0,"",'cuadro 1'!K34+'cuadro 2'!K34+'cuadro 3'!K34)</f>
        <v/>
      </c>
      <c r="L34" s="82" t="str">
        <f>IF('cuadro 1'!L34+'cuadro 2'!L34+'cuadro 3'!L34=0,"",'cuadro 1'!L34+'cuadro 2'!L34+'cuadro 3'!L34)</f>
        <v/>
      </c>
      <c r="M34" s="82" t="str">
        <f>IF('cuadro 1'!M34+'cuadro 2'!M34+'cuadro 3'!M34=0,"",'cuadro 1'!M34+'cuadro 2'!M34+'cuadro 3'!M34)</f>
        <v/>
      </c>
      <c r="N34" s="82" t="str">
        <f>IF('cuadro 1'!N34+'cuadro 2'!N34+'cuadro 3'!N34=0,"",'cuadro 1'!N34+'cuadro 2'!N34+'cuadro 3'!N34)</f>
        <v/>
      </c>
      <c r="O34" s="82" t="str">
        <f>IF('cuadro 1'!O34+'cuadro 2'!O34+'cuadro 3'!O34=0,"",'cuadro 1'!O34+'cuadro 2'!O34+'cuadro 3'!O34)</f>
        <v/>
      </c>
      <c r="P34" s="82" t="str">
        <f>IF('cuadro 1'!P34+'cuadro 2'!P34+'cuadro 3'!P34=0,"",'cuadro 1'!P34+'cuadro 2'!P34+'cuadro 3'!P34)</f>
        <v/>
      </c>
      <c r="Q34" s="82" t="str">
        <f>IF('cuadro 1'!Q34+'cuadro 2'!Q34+'cuadro 3'!Q34=0,"",'cuadro 1'!Q34+'cuadro 2'!Q34+'cuadro 3'!Q34)</f>
        <v/>
      </c>
      <c r="R34" s="54"/>
      <c r="S34" s="55"/>
    </row>
    <row r="35" spans="1:19" ht="24.95" customHeight="1" x14ac:dyDescent="0.2">
      <c r="A35" s="94"/>
      <c r="B35" s="83" t="s">
        <v>17</v>
      </c>
      <c r="C35" s="82" t="str">
        <f>IF('cuadro 1'!C35+'cuadro 2'!C35+'cuadro 3'!C35=0,"",'cuadro 1'!C35+'cuadro 2'!C35+'cuadro 3'!C35)</f>
        <v/>
      </c>
      <c r="D35" s="82" t="str">
        <f>IF('cuadro 1'!D35+'cuadro 2'!D35+'cuadro 3'!D35=0,"",'cuadro 1'!D35+'cuadro 2'!D35+'cuadro 3'!D35)</f>
        <v/>
      </c>
      <c r="E35" s="82" t="str">
        <f>IF('cuadro 1'!E35+'cuadro 2'!E35+'cuadro 3'!E35=0,"",'cuadro 1'!E35+'cuadro 2'!E35+'cuadro 3'!E35)</f>
        <v/>
      </c>
      <c r="F35" s="82" t="str">
        <f>IF('cuadro 1'!F35+'cuadro 2'!F35+'cuadro 3'!F35=0,"",'cuadro 1'!F35+'cuadro 2'!F35+'cuadro 3'!F35)</f>
        <v/>
      </c>
      <c r="G35" s="82" t="str">
        <f>IF('cuadro 1'!G35+'cuadro 2'!G35+'cuadro 3'!G35=0,"",'cuadro 1'!G35+'cuadro 2'!G35+'cuadro 3'!G35)</f>
        <v/>
      </c>
      <c r="H35" s="82" t="str">
        <f>IF('cuadro 1'!H35+'cuadro 2'!H35+'cuadro 3'!H35=0,"",'cuadro 1'!H35+'cuadro 2'!H35+'cuadro 3'!H35)</f>
        <v/>
      </c>
      <c r="I35" s="82" t="str">
        <f>IF('cuadro 1'!I35+'cuadro 2'!I35+'cuadro 3'!I35=0,"",'cuadro 1'!I35+'cuadro 2'!I35+'cuadro 3'!I35)</f>
        <v/>
      </c>
      <c r="J35" s="82" t="str">
        <f>IF('cuadro 1'!J35+'cuadro 2'!J35+'cuadro 3'!J35=0,"",'cuadro 1'!J35+'cuadro 2'!J35+'cuadro 3'!J35)</f>
        <v/>
      </c>
      <c r="K35" s="82" t="str">
        <f>IF('cuadro 1'!K35+'cuadro 2'!K35+'cuadro 3'!K35=0,"",'cuadro 1'!K35+'cuadro 2'!K35+'cuadro 3'!K35)</f>
        <v/>
      </c>
      <c r="L35" s="82" t="str">
        <f>IF('cuadro 1'!L35+'cuadro 2'!L35+'cuadro 3'!L35=0,"",'cuadro 1'!L35+'cuadro 2'!L35+'cuadro 3'!L35)</f>
        <v/>
      </c>
      <c r="M35" s="82" t="str">
        <f>IF('cuadro 1'!M35+'cuadro 2'!M35+'cuadro 3'!M35=0,"",'cuadro 1'!M35+'cuadro 2'!M35+'cuadro 3'!M35)</f>
        <v/>
      </c>
      <c r="N35" s="82" t="str">
        <f>IF('cuadro 1'!N35+'cuadro 2'!N35+'cuadro 3'!N35=0,"",'cuadro 1'!N35+'cuadro 2'!N35+'cuadro 3'!N35)</f>
        <v/>
      </c>
      <c r="O35" s="82" t="str">
        <f>IF('cuadro 1'!O35+'cuadro 2'!O35+'cuadro 3'!O35=0,"",'cuadro 1'!O35+'cuadro 2'!O35+'cuadro 3'!O35)</f>
        <v/>
      </c>
      <c r="P35" s="82" t="str">
        <f>IF('cuadro 1'!P35+'cuadro 2'!P35+'cuadro 3'!P35=0,"",'cuadro 1'!P35+'cuadro 2'!P35+'cuadro 3'!P35)</f>
        <v/>
      </c>
      <c r="Q35" s="82" t="str">
        <f>IF('cuadro 1'!Q35+'cuadro 2'!Q35+'cuadro 3'!Q35=0,"",'cuadro 1'!Q35+'cuadro 2'!Q35+'cuadro 3'!Q35)</f>
        <v/>
      </c>
      <c r="R35" s="54"/>
      <c r="S35" s="55"/>
    </row>
    <row r="36" spans="1:19" ht="24.95" customHeight="1" x14ac:dyDescent="0.2">
      <c r="A36" s="95"/>
      <c r="B36" s="83" t="s">
        <v>16</v>
      </c>
      <c r="C36" s="82" t="str">
        <f>IF('cuadro 1'!C36+'cuadro 2'!C36+'cuadro 3'!C36=0,"",'cuadro 1'!C36+'cuadro 2'!C36+'cuadro 3'!C36)</f>
        <v/>
      </c>
      <c r="D36" s="82" t="str">
        <f>IF('cuadro 1'!D36+'cuadro 2'!D36+'cuadro 3'!D36=0,"",'cuadro 1'!D36+'cuadro 2'!D36+'cuadro 3'!D36)</f>
        <v/>
      </c>
      <c r="E36" s="82" t="str">
        <f>IF('cuadro 1'!E36+'cuadro 2'!E36+'cuadro 3'!E36=0,"",'cuadro 1'!E36+'cuadro 2'!E36+'cuadro 3'!E36)</f>
        <v/>
      </c>
      <c r="F36" s="82" t="str">
        <f>IF('cuadro 1'!F36+'cuadro 2'!F36+'cuadro 3'!F36=0,"",'cuadro 1'!F36+'cuadro 2'!F36+'cuadro 3'!F36)</f>
        <v/>
      </c>
      <c r="G36" s="82" t="str">
        <f>IF('cuadro 1'!G36+'cuadro 2'!G36+'cuadro 3'!G36=0,"",'cuadro 1'!G36+'cuadro 2'!G36+'cuadro 3'!G36)</f>
        <v/>
      </c>
      <c r="H36" s="82" t="str">
        <f>IF('cuadro 1'!H36+'cuadro 2'!H36+'cuadro 3'!H36=0,"",'cuadro 1'!H36+'cuadro 2'!H36+'cuadro 3'!H36)</f>
        <v/>
      </c>
      <c r="I36" s="82" t="str">
        <f>IF('cuadro 1'!I36+'cuadro 2'!I36+'cuadro 3'!I36=0,"",'cuadro 1'!I36+'cuadro 2'!I36+'cuadro 3'!I36)</f>
        <v/>
      </c>
      <c r="J36" s="82" t="str">
        <f>IF('cuadro 1'!J36+'cuadro 2'!J36+'cuadro 3'!J36=0,"",'cuadro 1'!J36+'cuadro 2'!J36+'cuadro 3'!J36)</f>
        <v/>
      </c>
      <c r="K36" s="82" t="str">
        <f>IF('cuadro 1'!K36+'cuadro 2'!K36+'cuadro 3'!K36=0,"",'cuadro 1'!K36+'cuadro 2'!K36+'cuadro 3'!K36)</f>
        <v/>
      </c>
      <c r="L36" s="82" t="str">
        <f>IF('cuadro 1'!L36+'cuadro 2'!L36+'cuadro 3'!L36=0,"",'cuadro 1'!L36+'cuadro 2'!L36+'cuadro 3'!L36)</f>
        <v/>
      </c>
      <c r="M36" s="82" t="str">
        <f>IF('cuadro 1'!M36+'cuadro 2'!M36+'cuadro 3'!M36=0,"",'cuadro 1'!M36+'cuadro 2'!M36+'cuadro 3'!M36)</f>
        <v/>
      </c>
      <c r="N36" s="82" t="str">
        <f>IF('cuadro 1'!N36+'cuadro 2'!N36+'cuadro 3'!N36=0,"",'cuadro 1'!N36+'cuadro 2'!N36+'cuadro 3'!N36)</f>
        <v/>
      </c>
      <c r="O36" s="82" t="str">
        <f>IF('cuadro 1'!O36+'cuadro 2'!O36+'cuadro 3'!O36=0,"",'cuadro 1'!O36+'cuadro 2'!O36+'cuadro 3'!O36)</f>
        <v/>
      </c>
      <c r="P36" s="82" t="str">
        <f>IF('cuadro 1'!P36+'cuadro 2'!P36+'cuadro 3'!P36=0,"",'cuadro 1'!P36+'cuadro 2'!P36+'cuadro 3'!P36)</f>
        <v/>
      </c>
      <c r="Q36" s="82" t="str">
        <f>IF('cuadro 1'!Q36+'cuadro 2'!Q36+'cuadro 3'!Q36=0,"",'cuadro 1'!Q36+'cuadro 2'!Q36+'cuadro 3'!Q36)</f>
        <v/>
      </c>
      <c r="R36" s="54"/>
      <c r="S36" s="55"/>
    </row>
    <row r="37" spans="1:19" ht="21.95" customHeight="1" thickBot="1" x14ac:dyDescent="0.25">
      <c r="A37" s="115" t="s">
        <v>30</v>
      </c>
      <c r="B37" s="116"/>
      <c r="C37" s="86">
        <f t="shared" ref="C37:Q37" si="0">SUM(C9:C36)</f>
        <v>23</v>
      </c>
      <c r="D37" s="86">
        <f t="shared" si="0"/>
        <v>239</v>
      </c>
      <c r="E37" s="86">
        <f t="shared" si="0"/>
        <v>48</v>
      </c>
      <c r="F37" s="86">
        <f t="shared" si="0"/>
        <v>0</v>
      </c>
      <c r="G37" s="86">
        <f t="shared" si="0"/>
        <v>0</v>
      </c>
      <c r="H37" s="86">
        <f t="shared" si="0"/>
        <v>0</v>
      </c>
      <c r="I37" s="86">
        <f t="shared" si="0"/>
        <v>32</v>
      </c>
      <c r="J37" s="86">
        <f t="shared" si="0"/>
        <v>652</v>
      </c>
      <c r="K37" s="86">
        <f t="shared" si="0"/>
        <v>0</v>
      </c>
      <c r="L37" s="86">
        <f t="shared" si="0"/>
        <v>0</v>
      </c>
      <c r="M37" s="86">
        <f t="shared" si="0"/>
        <v>9131</v>
      </c>
      <c r="N37" s="86">
        <f t="shared" si="0"/>
        <v>0</v>
      </c>
      <c r="O37" s="86">
        <f t="shared" si="0"/>
        <v>26</v>
      </c>
      <c r="P37" s="86">
        <f t="shared" si="0"/>
        <v>0</v>
      </c>
      <c r="Q37" s="86">
        <f t="shared" si="0"/>
        <v>0</v>
      </c>
      <c r="R37" s="138"/>
      <c r="S37" s="139"/>
    </row>
    <row r="38" spans="1:19" ht="21.95" customHeight="1" thickBot="1" x14ac:dyDescent="0.25">
      <c r="A38" s="115"/>
      <c r="B38" s="116"/>
      <c r="C38" s="117">
        <f>SUM(C37:G37)</f>
        <v>310</v>
      </c>
      <c r="D38" s="118"/>
      <c r="E38" s="118"/>
      <c r="F38" s="118"/>
      <c r="G38" s="119"/>
      <c r="H38" s="120">
        <f>SUM(H37:K37)</f>
        <v>684</v>
      </c>
      <c r="I38" s="121"/>
      <c r="J38" s="121"/>
      <c r="K38" s="122"/>
      <c r="L38" s="120">
        <f>SUM(L37:P37)</f>
        <v>9157</v>
      </c>
      <c r="M38" s="121"/>
      <c r="N38" s="121"/>
      <c r="O38" s="121"/>
      <c r="P38" s="122"/>
      <c r="Q38" s="87">
        <v>0</v>
      </c>
      <c r="R38" s="138"/>
      <c r="S38" s="139"/>
    </row>
    <row r="39" spans="1:19" ht="20.100000000000001" customHeight="1" x14ac:dyDescent="0.2">
      <c r="A39" s="123" t="s">
        <v>18</v>
      </c>
      <c r="B39" s="124"/>
      <c r="C39" s="82" t="str">
        <f>IF('cuadro 1'!C39+'cuadro 2'!C39+'cuadro 3'!C39=0,"",'cuadro 1'!C39+'cuadro 2'!C39+'cuadro 3'!C39)</f>
        <v/>
      </c>
      <c r="D39" s="82" t="str">
        <f>IF('cuadro 1'!D39+'cuadro 2'!D39+'cuadro 3'!D39=0,"",'cuadro 1'!D39+'cuadro 2'!D39+'cuadro 3'!D39)</f>
        <v/>
      </c>
      <c r="E39" s="82" t="str">
        <f>IF('cuadro 1'!E39+'cuadro 2'!E39+'cuadro 3'!E39=0,"",'cuadro 1'!E39+'cuadro 2'!E39+'cuadro 3'!E39)</f>
        <v/>
      </c>
      <c r="F39" s="82" t="str">
        <f>IF('cuadro 1'!F39+'cuadro 2'!F39+'cuadro 3'!F39=0,"",'cuadro 1'!F39+'cuadro 2'!F39+'cuadro 3'!F39)</f>
        <v/>
      </c>
      <c r="G39" s="82" t="str">
        <f>IF('cuadro 1'!G39+'cuadro 2'!G39+'cuadro 3'!G39=0,"",'cuadro 1'!G39+'cuadro 2'!G39+'cuadro 3'!G39)</f>
        <v/>
      </c>
      <c r="H39" s="82" t="str">
        <f>IF('cuadro 1'!H39+'cuadro 2'!H39+'cuadro 3'!H39=0,"",'cuadro 1'!H39+'cuadro 2'!H39+'cuadro 3'!H39)</f>
        <v/>
      </c>
      <c r="I39" s="82" t="str">
        <f>IF('cuadro 1'!I39+'cuadro 2'!I39+'cuadro 3'!I39=0,"",'cuadro 1'!I39+'cuadro 2'!I39+'cuadro 3'!I39)</f>
        <v/>
      </c>
      <c r="J39" s="82" t="str">
        <f>IF('cuadro 1'!J39+'cuadro 2'!J39+'cuadro 3'!J39=0,"",'cuadro 1'!J39+'cuadro 2'!J39+'cuadro 3'!J39)</f>
        <v/>
      </c>
      <c r="K39" s="82" t="str">
        <f>IF('cuadro 1'!K39+'cuadro 2'!K39+'cuadro 3'!K39=0,"",'cuadro 1'!K39+'cuadro 2'!K39+'cuadro 3'!K39)</f>
        <v/>
      </c>
      <c r="L39" s="82" t="str">
        <f>IF('cuadro 1'!L39+'cuadro 2'!L39+'cuadro 3'!L39=0,"",'cuadro 1'!L39+'cuadro 2'!L39+'cuadro 3'!L39)</f>
        <v/>
      </c>
      <c r="M39" s="82">
        <f>IF('cuadro 1'!M39+'cuadro 2'!M39+'cuadro 3'!M39=0,"",'cuadro 1'!M39+'cuadro 2'!M39+'cuadro 3'!M39)</f>
        <v>250320</v>
      </c>
      <c r="N39" s="82" t="str">
        <f>IF('cuadro 1'!N39+'cuadro 2'!N39+'cuadro 3'!N39=0,"",'cuadro 1'!N39+'cuadro 2'!N39+'cuadro 3'!N39)</f>
        <v/>
      </c>
      <c r="O39" s="82" t="str">
        <f>IF('cuadro 1'!O39+'cuadro 2'!O39+'cuadro 3'!O39=0,"",'cuadro 1'!O39+'cuadro 2'!O39+'cuadro 3'!O39)</f>
        <v/>
      </c>
      <c r="P39" s="82" t="str">
        <f>IF('cuadro 1'!P39+'cuadro 2'!P39+'cuadro 3'!P39=0,"",'cuadro 1'!P39+'cuadro 2'!P39+'cuadro 3'!P39)</f>
        <v/>
      </c>
      <c r="Q39" s="82" t="str">
        <f>IF('cuadro 1'!Q39+'cuadro 2'!Q39+'cuadro 3'!Q39=0,"",'cuadro 1'!Q39+'cuadro 2'!Q39+'cuadro 3'!Q39)</f>
        <v/>
      </c>
      <c r="R39" s="41">
        <f>+'cuadro 1'!R39+'cuadro 2'!R39+'cuadro 3'!R39</f>
        <v>250320</v>
      </c>
      <c r="S39" s="128">
        <f>SUM(R39:R43)</f>
        <v>299416</v>
      </c>
    </row>
    <row r="40" spans="1:19" ht="20.100000000000001" customHeight="1" x14ac:dyDescent="0.2">
      <c r="A40" s="123" t="s">
        <v>17</v>
      </c>
      <c r="B40" s="124"/>
      <c r="C40" s="82">
        <f>IF('cuadro 1'!C40+'cuadro 2'!C40+'cuadro 3'!C40=0,"",'cuadro 1'!C40+'cuadro 2'!C40+'cuadro 3'!C40)</f>
        <v>138</v>
      </c>
      <c r="D40" s="82">
        <f>IF('cuadro 1'!D40+'cuadro 2'!D40+'cuadro 3'!D40=0,"",'cuadro 1'!D40+'cuadro 2'!D40+'cuadro 3'!D40)</f>
        <v>1092</v>
      </c>
      <c r="E40" s="82" t="str">
        <f>IF('cuadro 1'!E40+'cuadro 2'!E40+'cuadro 3'!E40=0,"",'cuadro 1'!E40+'cuadro 2'!E40+'cuadro 3'!E40)</f>
        <v/>
      </c>
      <c r="F40" s="82" t="str">
        <f>IF('cuadro 1'!F40+'cuadro 2'!F40+'cuadro 3'!F40=0,"",'cuadro 1'!F40+'cuadro 2'!F40+'cuadro 3'!F40)</f>
        <v/>
      </c>
      <c r="G40" s="82" t="str">
        <f>IF('cuadro 1'!G40+'cuadro 2'!G40+'cuadro 3'!G40=0,"",'cuadro 1'!G40+'cuadro 2'!G40+'cuadro 3'!G40)</f>
        <v/>
      </c>
      <c r="H40" s="82" t="str">
        <f>IF('cuadro 1'!H40+'cuadro 2'!H40+'cuadro 3'!H40=0,"",'cuadro 1'!H40+'cuadro 2'!H40+'cuadro 3'!H40)</f>
        <v/>
      </c>
      <c r="I40" s="82" t="str">
        <f>IF('cuadro 1'!I40+'cuadro 2'!I40+'cuadro 3'!I40=0,"",'cuadro 1'!I40+'cuadro 2'!I40+'cuadro 3'!I40)</f>
        <v/>
      </c>
      <c r="J40" s="82">
        <f>IF('cuadro 1'!J40+'cuadro 2'!J40+'cuadro 3'!J40=0,"",'cuadro 1'!J40+'cuadro 2'!J40+'cuadro 3'!J40)</f>
        <v>15630</v>
      </c>
      <c r="K40" s="82" t="str">
        <f>IF('cuadro 1'!K40+'cuadro 2'!K40+'cuadro 3'!K40=0,"",'cuadro 1'!K40+'cuadro 2'!K40+'cuadro 3'!K40)</f>
        <v/>
      </c>
      <c r="L40" s="82" t="str">
        <f>IF('cuadro 1'!L40+'cuadro 2'!L40+'cuadro 3'!L40=0,"",'cuadro 1'!L40+'cuadro 2'!L40+'cuadro 3'!L40)</f>
        <v/>
      </c>
      <c r="M40" s="82">
        <f>IF('cuadro 1'!M40+'cuadro 2'!M40+'cuadro 3'!M40=0,"",'cuadro 1'!M40+'cuadro 2'!M40+'cuadro 3'!M40)</f>
        <v>12000</v>
      </c>
      <c r="N40" s="82" t="str">
        <f>IF('cuadro 1'!N40+'cuadro 2'!N40+'cuadro 3'!N40=0,"",'cuadro 1'!N40+'cuadro 2'!N40+'cuadro 3'!N40)</f>
        <v/>
      </c>
      <c r="O40" s="82" t="str">
        <f>IF('cuadro 1'!O40+'cuadro 2'!O40+'cuadro 3'!O40=0,"",'cuadro 1'!O40+'cuadro 2'!O40+'cuadro 3'!O40)</f>
        <v/>
      </c>
      <c r="P40" s="82" t="str">
        <f>IF('cuadro 1'!P40+'cuadro 2'!P40+'cuadro 3'!P40=0,"",'cuadro 1'!P40+'cuadro 2'!P40+'cuadro 3'!P40)</f>
        <v/>
      </c>
      <c r="Q40" s="82" t="str">
        <f>IF('cuadro 1'!Q40+'cuadro 2'!Q40+'cuadro 3'!Q40=0,"",'cuadro 1'!Q40+'cuadro 2'!Q40+'cuadro 3'!Q40)</f>
        <v/>
      </c>
      <c r="R40" s="41">
        <f>+'cuadro 1'!R40+'cuadro 2'!R40+'cuadro 3'!R40</f>
        <v>28860</v>
      </c>
      <c r="S40" s="129"/>
    </row>
    <row r="41" spans="1:19" ht="20.100000000000001" customHeight="1" x14ac:dyDescent="0.2">
      <c r="A41" s="123" t="s">
        <v>16</v>
      </c>
      <c r="B41" s="124"/>
      <c r="C41" s="82" t="str">
        <f>IF('cuadro 1'!C41+'cuadro 2'!C41+'cuadro 3'!C41=0,"",'cuadro 1'!C41+'cuadro 2'!C41+'cuadro 3'!C41)</f>
        <v/>
      </c>
      <c r="D41" s="82">
        <f>IF('cuadro 1'!D41+'cuadro 2'!D41+'cuadro 3'!D41=0,"",'cuadro 1'!D41+'cuadro 2'!D41+'cuadro 3'!D41)</f>
        <v>1776</v>
      </c>
      <c r="E41" s="82">
        <f>IF('cuadro 1'!E41+'cuadro 2'!E41+'cuadro 3'!E41=0,"",'cuadro 1'!E41+'cuadro 2'!E41+'cuadro 3'!E41)</f>
        <v>720</v>
      </c>
      <c r="F41" s="82" t="str">
        <f>IF('cuadro 1'!F41+'cuadro 2'!F41+'cuadro 3'!F41=0,"",'cuadro 1'!F41+'cuadro 2'!F41+'cuadro 3'!F41)</f>
        <v/>
      </c>
      <c r="G41" s="82" t="str">
        <f>IF('cuadro 1'!G41+'cuadro 2'!G41+'cuadro 3'!G41=0,"",'cuadro 1'!G41+'cuadro 2'!G41+'cuadro 3'!G41)</f>
        <v/>
      </c>
      <c r="H41" s="82" t="str">
        <f>IF('cuadro 1'!H41+'cuadro 2'!H41+'cuadro 3'!H41=0,"",'cuadro 1'!H41+'cuadro 2'!H41+'cuadro 3'!H41)</f>
        <v/>
      </c>
      <c r="I41" s="82" t="str">
        <f>IF('cuadro 1'!I41+'cuadro 2'!I41+'cuadro 3'!I41=0,"",'cuadro 1'!I41+'cuadro 2'!I41+'cuadro 3'!I41)</f>
        <v/>
      </c>
      <c r="J41" s="82">
        <f>IF('cuadro 1'!J41+'cuadro 2'!J41+'cuadro 3'!J41=0,"",'cuadro 1'!J41+'cuadro 2'!J41+'cuadro 3'!J41)</f>
        <v>3930</v>
      </c>
      <c r="K41" s="82" t="str">
        <f>IF('cuadro 1'!K41+'cuadro 2'!K41+'cuadro 3'!K41=0,"",'cuadro 1'!K41+'cuadro 2'!K41+'cuadro 3'!K41)</f>
        <v/>
      </c>
      <c r="L41" s="82" t="str">
        <f>IF('cuadro 1'!L41+'cuadro 2'!L41+'cuadro 3'!L41=0,"",'cuadro 1'!L41+'cuadro 2'!L41+'cuadro 3'!L41)</f>
        <v/>
      </c>
      <c r="M41" s="82" t="str">
        <f>IF('cuadro 1'!M41+'cuadro 2'!M41+'cuadro 3'!M41=0,"",'cuadro 1'!M41+'cuadro 2'!M41+'cuadro 3'!M41)</f>
        <v/>
      </c>
      <c r="N41" s="82" t="str">
        <f>IF('cuadro 1'!N41+'cuadro 2'!N41+'cuadro 3'!N41=0,"",'cuadro 1'!N41+'cuadro 2'!N41+'cuadro 3'!N41)</f>
        <v/>
      </c>
      <c r="O41" s="82" t="str">
        <f>IF('cuadro 1'!O41+'cuadro 2'!O41+'cuadro 3'!O41=0,"",'cuadro 1'!O41+'cuadro 2'!O41+'cuadro 3'!O41)</f>
        <v/>
      </c>
      <c r="P41" s="82" t="str">
        <f>IF('cuadro 1'!P41+'cuadro 2'!P41+'cuadro 3'!P41=0,"",'cuadro 1'!P41+'cuadro 2'!P41+'cuadro 3'!P41)</f>
        <v/>
      </c>
      <c r="Q41" s="82" t="str">
        <f>IF('cuadro 1'!Q41+'cuadro 2'!Q41+'cuadro 3'!Q41=0,"",'cuadro 1'!Q41+'cuadro 2'!Q41+'cuadro 3'!Q41)</f>
        <v/>
      </c>
      <c r="R41" s="41">
        <f>+'cuadro 1'!R41+'cuadro 2'!R41+'cuadro 3'!R41</f>
        <v>6426</v>
      </c>
      <c r="S41" s="129"/>
    </row>
    <row r="42" spans="1:19" ht="20.100000000000001" customHeight="1" x14ac:dyDescent="0.2">
      <c r="A42" s="123" t="s">
        <v>15</v>
      </c>
      <c r="B42" s="125"/>
      <c r="C42" s="82" t="str">
        <f>IF('cuadro 1'!C42+'cuadro 2'!C42+'cuadro 3'!C42=0,"",'cuadro 1'!C42+'cuadro 2'!C42+'cuadro 3'!C42)</f>
        <v/>
      </c>
      <c r="D42" s="82" t="str">
        <f>IF('cuadro 1'!D42+'cuadro 2'!D42+'cuadro 3'!D42=0,"",'cuadro 1'!D42+'cuadro 2'!D42+'cuadro 3'!D42)</f>
        <v/>
      </c>
      <c r="E42" s="82" t="str">
        <f>IF('cuadro 1'!E42+'cuadro 2'!E42+'cuadro 3'!E42=0,"",'cuadro 1'!E42+'cuadro 2'!E42+'cuadro 3'!E42)</f>
        <v/>
      </c>
      <c r="F42" s="82" t="str">
        <f>IF('cuadro 1'!F42+'cuadro 2'!F42+'cuadro 3'!F42=0,"",'cuadro 1'!F42+'cuadro 2'!F42+'cuadro 3'!F42)</f>
        <v/>
      </c>
      <c r="G42" s="82" t="str">
        <f>IF('cuadro 1'!G42+'cuadro 2'!G42+'cuadro 3'!G42=0,"",'cuadro 1'!G42+'cuadro 2'!G42+'cuadro 3'!G42)</f>
        <v/>
      </c>
      <c r="H42" s="82" t="str">
        <f>IF('cuadro 1'!H42+'cuadro 2'!H42+'cuadro 3'!H42=0,"",'cuadro 1'!H42+'cuadro 2'!H42+'cuadro 3'!H42)</f>
        <v/>
      </c>
      <c r="I42" s="82">
        <f>IF('cuadro 1'!I42+'cuadro 2'!I42+'cuadro 3'!I42=0,"",'cuadro 1'!I42+'cuadro 2'!I42+'cuadro 3'!I42)</f>
        <v>640</v>
      </c>
      <c r="J42" s="82" t="str">
        <f>IF('cuadro 1'!J42+'cuadro 2'!J42+'cuadro 3'!J42=0,"",'cuadro 1'!J42+'cuadro 2'!J42+'cuadro 3'!J42)</f>
        <v/>
      </c>
      <c r="K42" s="82" t="str">
        <f>IF('cuadro 1'!K42+'cuadro 2'!K42+'cuadro 3'!K42=0,"",'cuadro 1'!K42+'cuadro 2'!K42+'cuadro 3'!K42)</f>
        <v/>
      </c>
      <c r="L42" s="82" t="str">
        <f>IF('cuadro 1'!L42+'cuadro 2'!L42+'cuadro 3'!L42=0,"",'cuadro 1'!L42+'cuadro 2'!L42+'cuadro 3'!L42)</f>
        <v/>
      </c>
      <c r="M42" s="82" t="str">
        <f>IF('cuadro 1'!M42+'cuadro 2'!M42+'cuadro 3'!M42=0,"",'cuadro 1'!M42+'cuadro 2'!M42+'cuadro 3'!M42)</f>
        <v/>
      </c>
      <c r="N42" s="82" t="str">
        <f>IF('cuadro 1'!N42+'cuadro 2'!N42+'cuadro 3'!N42=0,"",'cuadro 1'!N42+'cuadro 2'!N42+'cuadro 3'!N42)</f>
        <v/>
      </c>
      <c r="O42" s="82" t="str">
        <f>IF('cuadro 1'!O42+'cuadro 2'!O42+'cuadro 3'!O42=0,"",'cuadro 1'!O42+'cuadro 2'!O42+'cuadro 3'!O42)</f>
        <v/>
      </c>
      <c r="P42" s="82" t="str">
        <f>IF('cuadro 1'!P42+'cuadro 2'!P42+'cuadro 3'!P42=0,"",'cuadro 1'!P42+'cuadro 2'!P42+'cuadro 3'!P42)</f>
        <v/>
      </c>
      <c r="Q42" s="82" t="str">
        <f>IF('cuadro 1'!Q42+'cuadro 2'!Q42+'cuadro 3'!Q42=0,"",'cuadro 1'!Q42+'cuadro 2'!Q42+'cuadro 3'!Q42)</f>
        <v/>
      </c>
      <c r="R42" s="41">
        <f>+'cuadro 1'!R42+'cuadro 2'!R42+'cuadro 3'!R42</f>
        <v>640</v>
      </c>
      <c r="S42" s="129"/>
    </row>
    <row r="43" spans="1:19" ht="20.100000000000001" customHeight="1" x14ac:dyDescent="0.2">
      <c r="A43" s="123" t="s">
        <v>19</v>
      </c>
      <c r="B43" s="124"/>
      <c r="C43" s="82" t="str">
        <f>IF('cuadro 1'!C43+'cuadro 2'!C43+'cuadro 3'!C43=0,"",'cuadro 1'!C43+'cuadro 2'!C43+'cuadro 3'!C43)</f>
        <v/>
      </c>
      <c r="D43" s="82" t="str">
        <f>IF('cuadro 1'!D43+'cuadro 2'!D43+'cuadro 3'!D43=0,"",'cuadro 1'!D43+'cuadro 2'!D43+'cuadro 3'!D43)</f>
        <v/>
      </c>
      <c r="E43" s="82" t="str">
        <f>IF('cuadro 1'!E43+'cuadro 2'!E43+'cuadro 3'!E43=0,"",'cuadro 1'!E43+'cuadro 2'!E43+'cuadro 3'!E43)</f>
        <v/>
      </c>
      <c r="F43" s="82" t="str">
        <f>IF('cuadro 1'!F43+'cuadro 2'!F43+'cuadro 3'!F43=0,"",'cuadro 1'!F43+'cuadro 2'!F43+'cuadro 3'!F43)</f>
        <v/>
      </c>
      <c r="G43" s="82" t="str">
        <f>IF('cuadro 1'!G43+'cuadro 2'!G43+'cuadro 3'!G43=0,"",'cuadro 1'!G43+'cuadro 2'!G43+'cuadro 3'!G43)</f>
        <v/>
      </c>
      <c r="H43" s="82" t="str">
        <f>IF('cuadro 1'!H43+'cuadro 2'!H43+'cuadro 3'!H43=0,"",'cuadro 1'!H43+'cuadro 2'!H43+'cuadro 3'!H43)</f>
        <v/>
      </c>
      <c r="I43" s="82" t="str">
        <f>IF('cuadro 1'!I43+'cuadro 2'!I43+'cuadro 3'!I43=0,"",'cuadro 1'!I43+'cuadro 2'!I43+'cuadro 3'!I43)</f>
        <v/>
      </c>
      <c r="J43" s="82" t="str">
        <f>IF('cuadro 1'!J43+'cuadro 2'!J43+'cuadro 3'!J43=0,"",'cuadro 1'!J43+'cuadro 2'!J43+'cuadro 3'!J43)</f>
        <v/>
      </c>
      <c r="K43" s="82" t="str">
        <f>IF('cuadro 1'!K43+'cuadro 2'!K43+'cuadro 3'!K43=0,"",'cuadro 1'!K43+'cuadro 2'!K43+'cuadro 3'!K43)</f>
        <v/>
      </c>
      <c r="L43" s="82" t="str">
        <f>IF('cuadro 1'!L43+'cuadro 2'!L43+'cuadro 3'!L43=0,"",'cuadro 1'!L43+'cuadro 2'!L43+'cuadro 3'!L43)</f>
        <v/>
      </c>
      <c r="M43" s="82">
        <f>IF('cuadro 1'!M43+'cuadro 2'!M43+'cuadro 3'!M43=0,"",'cuadro 1'!M43+'cuadro 2'!M43+'cuadro 3'!M43)</f>
        <v>11610</v>
      </c>
      <c r="N43" s="82" t="str">
        <f>IF('cuadro 1'!N43+'cuadro 2'!N43+'cuadro 3'!N43=0,"",'cuadro 1'!N43+'cuadro 2'!N43+'cuadro 3'!N43)</f>
        <v/>
      </c>
      <c r="O43" s="82">
        <f>IF('cuadro 1'!O43+'cuadro 2'!O43+'cuadro 3'!O43=0,"",'cuadro 1'!O43+'cuadro 2'!O43+'cuadro 3'!O43)</f>
        <v>1560</v>
      </c>
      <c r="P43" s="82" t="str">
        <f>IF('cuadro 1'!P43+'cuadro 2'!P43+'cuadro 3'!P43=0,"",'cuadro 1'!P43+'cuadro 2'!P43+'cuadro 3'!P43)</f>
        <v/>
      </c>
      <c r="Q43" s="82" t="str">
        <f>IF('cuadro 1'!Q43+'cuadro 2'!Q43+'cuadro 3'!Q43=0,"",'cuadro 1'!Q43+'cuadro 2'!Q43+'cuadro 3'!Q43)</f>
        <v/>
      </c>
      <c r="R43" s="41">
        <f>+'cuadro 1'!R43+'cuadro 2'!R43+'cuadro 3'!R43</f>
        <v>13170</v>
      </c>
      <c r="S43" s="129"/>
    </row>
    <row r="44" spans="1:19" ht="20.100000000000001" customHeight="1" x14ac:dyDescent="0.2">
      <c r="A44" s="126" t="s">
        <v>31</v>
      </c>
      <c r="B44" s="127"/>
      <c r="C44" s="88">
        <f t="shared" ref="C44:R44" si="1">SUM(C39:C43)</f>
        <v>138</v>
      </c>
      <c r="D44" s="88">
        <f t="shared" si="1"/>
        <v>2868</v>
      </c>
      <c r="E44" s="88">
        <f t="shared" si="1"/>
        <v>720</v>
      </c>
      <c r="F44" s="88">
        <f t="shared" si="1"/>
        <v>0</v>
      </c>
      <c r="G44" s="88">
        <f t="shared" si="1"/>
        <v>0</v>
      </c>
      <c r="H44" s="88">
        <f t="shared" si="1"/>
        <v>0</v>
      </c>
      <c r="I44" s="88">
        <f t="shared" si="1"/>
        <v>640</v>
      </c>
      <c r="J44" s="88">
        <f t="shared" si="1"/>
        <v>19560</v>
      </c>
      <c r="K44" s="88">
        <f t="shared" si="1"/>
        <v>0</v>
      </c>
      <c r="L44" s="88">
        <f t="shared" si="1"/>
        <v>0</v>
      </c>
      <c r="M44" s="88">
        <f t="shared" si="1"/>
        <v>273930</v>
      </c>
      <c r="N44" s="88">
        <f t="shared" si="1"/>
        <v>0</v>
      </c>
      <c r="O44" s="88">
        <f t="shared" si="1"/>
        <v>1560</v>
      </c>
      <c r="P44" s="88">
        <f t="shared" si="1"/>
        <v>0</v>
      </c>
      <c r="Q44" s="89">
        <f t="shared" si="1"/>
        <v>0</v>
      </c>
      <c r="R44" s="48">
        <f t="shared" si="1"/>
        <v>299416</v>
      </c>
      <c r="S44" s="29"/>
    </row>
  </sheetData>
  <mergeCells count="47">
    <mergeCell ref="R7:S8"/>
    <mergeCell ref="R37:S37"/>
    <mergeCell ref="R38:S38"/>
    <mergeCell ref="C7:G7"/>
    <mergeCell ref="H7:K7"/>
    <mergeCell ref="L7:P7"/>
    <mergeCell ref="R20:S20"/>
    <mergeCell ref="R21:S21"/>
    <mergeCell ref="R17:S17"/>
    <mergeCell ref="R18:S18"/>
    <mergeCell ref="R19:S19"/>
    <mergeCell ref="R16:S16"/>
    <mergeCell ref="S39:S43"/>
    <mergeCell ref="R9:S9"/>
    <mergeCell ref="R10:S10"/>
    <mergeCell ref="R11:S11"/>
    <mergeCell ref="R12:S12"/>
    <mergeCell ref="R13:S13"/>
    <mergeCell ref="R14:S14"/>
    <mergeCell ref="R15:S15"/>
    <mergeCell ref="R24:S24"/>
    <mergeCell ref="R22:S22"/>
    <mergeCell ref="R23:S23"/>
    <mergeCell ref="R25:S25"/>
    <mergeCell ref="A40:B40"/>
    <mergeCell ref="A41:B41"/>
    <mergeCell ref="A42:B42"/>
    <mergeCell ref="A43:B43"/>
    <mergeCell ref="A44:B44"/>
    <mergeCell ref="A37:B38"/>
    <mergeCell ref="C38:G38"/>
    <mergeCell ref="H38:K38"/>
    <mergeCell ref="L38:P38"/>
    <mergeCell ref="A39:B39"/>
    <mergeCell ref="A2:B5"/>
    <mergeCell ref="C2:Q5"/>
    <mergeCell ref="A9:A14"/>
    <mergeCell ref="B6:N6"/>
    <mergeCell ref="P6:Q6"/>
    <mergeCell ref="A7:A8"/>
    <mergeCell ref="B7:B8"/>
    <mergeCell ref="A30:A33"/>
    <mergeCell ref="A34:A36"/>
    <mergeCell ref="A15:A16"/>
    <mergeCell ref="A17:A18"/>
    <mergeCell ref="A25:A26"/>
    <mergeCell ref="A27:A29"/>
  </mergeCells>
  <pageMargins left="0.7" right="0.7" top="0.75" bottom="0.75" header="0.3" footer="0.3"/>
  <pageSetup scale="53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A057677A-2284-4B0B-A3F5-1F616843E2D3}">
            <xm:f>IF('cuadro 1'!C9+'cuadro 2'!C9+'cuadro 3'!C9=0,"",'cuadro 1'!C9+'cuadro 2'!C9+'cuadro 3'!C9)</xm:f>
            <x14:dxf>
              <fill>
                <patternFill>
                  <bgColor theme="0"/>
                </patternFill>
              </fill>
            </x14:dxf>
          </x14:cfRule>
          <xm:sqref>C9:Q36 C39:Q43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7"/>
  <sheetViews>
    <sheetView workbookViewId="0">
      <selection activeCell="J20" sqref="J20"/>
    </sheetView>
  </sheetViews>
  <sheetFormatPr baseColWidth="10" defaultColWidth="11.42578125" defaultRowHeight="12" x14ac:dyDescent="0.2"/>
  <cols>
    <col min="1" max="1" width="23.42578125" style="1" customWidth="1"/>
    <col min="2" max="2" width="10.85546875" style="2" customWidth="1"/>
    <col min="3" max="3" width="7.7109375" style="3" bestFit="1" customWidth="1"/>
    <col min="4" max="7" width="7.42578125" style="3" bestFit="1" customWidth="1"/>
    <col min="8" max="11" width="8" style="3" bestFit="1" customWidth="1"/>
    <col min="12" max="16" width="9.85546875" style="3" bestFit="1" customWidth="1"/>
    <col min="17" max="17" width="11.140625" style="3" customWidth="1"/>
    <col min="18" max="18" width="14.5703125" style="3" customWidth="1"/>
    <col min="19" max="19" width="14.7109375" style="3" customWidth="1"/>
    <col min="20" max="21" width="11.42578125" style="3"/>
    <col min="22" max="22" width="14.42578125" style="3" bestFit="1" customWidth="1"/>
    <col min="23" max="23" width="8.5703125" style="3" bestFit="1" customWidth="1"/>
    <col min="24" max="34" width="11.42578125" style="3"/>
    <col min="35" max="35" width="1.42578125" style="3" bestFit="1" customWidth="1"/>
    <col min="36" max="16384" width="11.42578125" style="3"/>
  </cols>
  <sheetData>
    <row r="1" spans="1:23" ht="12.75" thickBot="1" x14ac:dyDescent="0.25">
      <c r="J1" s="4"/>
      <c r="K1" s="4"/>
    </row>
    <row r="2" spans="1:23" ht="13.15" customHeight="1" x14ac:dyDescent="0.2">
      <c r="A2" s="100"/>
      <c r="B2" s="101"/>
      <c r="C2" s="151" t="s">
        <v>0</v>
      </c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00" t="s">
        <v>1</v>
      </c>
      <c r="S2" s="101"/>
    </row>
    <row r="3" spans="1:23" ht="9" customHeight="1" x14ac:dyDescent="0.2">
      <c r="A3" s="102"/>
      <c r="B3" s="103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02" t="s">
        <v>2</v>
      </c>
      <c r="S3" s="103"/>
    </row>
    <row r="4" spans="1:23" ht="9.6" customHeight="1" x14ac:dyDescent="0.2">
      <c r="A4" s="102"/>
      <c r="B4" s="103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2" t="s">
        <v>3</v>
      </c>
      <c r="S4" s="103"/>
    </row>
    <row r="5" spans="1:23" ht="12" customHeight="1" thickBot="1" x14ac:dyDescent="0.25">
      <c r="A5" s="104"/>
      <c r="B5" s="105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04" t="s">
        <v>4</v>
      </c>
      <c r="S5" s="105"/>
    </row>
    <row r="6" spans="1:23" ht="12.75" thickBot="1" x14ac:dyDescent="0.25">
      <c r="A6" s="5" t="s">
        <v>5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6"/>
      <c r="P6" s="111" t="s">
        <v>6</v>
      </c>
      <c r="Q6" s="112"/>
      <c r="R6" s="7">
        <v>45218</v>
      </c>
      <c r="S6" s="6"/>
    </row>
    <row r="7" spans="1:23" ht="21" x14ac:dyDescent="0.2">
      <c r="A7" s="154" t="s">
        <v>7</v>
      </c>
      <c r="B7" s="155" t="s">
        <v>8</v>
      </c>
      <c r="C7" s="140" t="s">
        <v>9</v>
      </c>
      <c r="D7" s="141"/>
      <c r="E7" s="141"/>
      <c r="F7" s="141"/>
      <c r="G7" s="142"/>
      <c r="H7" s="140" t="s">
        <v>10</v>
      </c>
      <c r="I7" s="141"/>
      <c r="J7" s="141"/>
      <c r="K7" s="142"/>
      <c r="L7" s="140" t="s">
        <v>11</v>
      </c>
      <c r="M7" s="141"/>
      <c r="N7" s="141"/>
      <c r="O7" s="141"/>
      <c r="P7" s="142"/>
      <c r="Q7" s="32" t="s">
        <v>12</v>
      </c>
      <c r="R7" s="134" t="s">
        <v>13</v>
      </c>
      <c r="S7" s="135"/>
    </row>
    <row r="8" spans="1:23" ht="18.75" x14ac:dyDescent="0.2">
      <c r="A8" s="154"/>
      <c r="B8" s="155"/>
      <c r="C8" s="33">
        <v>6</v>
      </c>
      <c r="D8" s="34">
        <v>12</v>
      </c>
      <c r="E8" s="34">
        <v>15</v>
      </c>
      <c r="F8" s="34">
        <v>20</v>
      </c>
      <c r="G8" s="35">
        <v>30</v>
      </c>
      <c r="H8" s="33">
        <v>15</v>
      </c>
      <c r="I8" s="34">
        <v>20</v>
      </c>
      <c r="J8" s="34">
        <v>30</v>
      </c>
      <c r="K8" s="35">
        <v>60</v>
      </c>
      <c r="L8" s="33">
        <v>15</v>
      </c>
      <c r="M8" s="34">
        <v>30</v>
      </c>
      <c r="N8" s="34">
        <v>45</v>
      </c>
      <c r="O8" s="34">
        <v>60</v>
      </c>
      <c r="P8" s="35">
        <v>180</v>
      </c>
      <c r="Q8" s="36">
        <v>1</v>
      </c>
      <c r="R8" s="136"/>
      <c r="S8" s="137"/>
    </row>
    <row r="9" spans="1:23" ht="18.75" x14ac:dyDescent="0.2">
      <c r="A9" s="156" t="s">
        <v>14</v>
      </c>
      <c r="B9" s="31" t="s">
        <v>15</v>
      </c>
      <c r="C9" s="50"/>
      <c r="D9" s="50"/>
      <c r="E9" s="50"/>
      <c r="F9" s="50"/>
      <c r="G9" s="50"/>
      <c r="H9" s="50"/>
      <c r="I9" s="50">
        <f>2+30</f>
        <v>32</v>
      </c>
      <c r="J9" s="50"/>
      <c r="K9" s="50"/>
      <c r="L9" s="50"/>
      <c r="M9" s="50"/>
      <c r="N9" s="50"/>
      <c r="O9" s="50"/>
      <c r="P9" s="51"/>
      <c r="Q9" s="52"/>
      <c r="R9" s="157"/>
      <c r="S9" s="158"/>
    </row>
    <row r="10" spans="1:23" ht="18.75" x14ac:dyDescent="0.2">
      <c r="A10" s="156"/>
      <c r="B10" s="31" t="s">
        <v>16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1"/>
      <c r="Q10" s="52"/>
      <c r="R10" s="157"/>
      <c r="S10" s="158"/>
      <c r="V10" s="8"/>
      <c r="W10" s="9"/>
    </row>
    <row r="11" spans="1:23" ht="18.75" x14ac:dyDescent="0.2">
      <c r="A11" s="156"/>
      <c r="B11" s="31" t="s">
        <v>17</v>
      </c>
      <c r="C11" s="50">
        <f>12+1+10</f>
        <v>23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1"/>
      <c r="Q11" s="52"/>
      <c r="R11" s="159"/>
      <c r="S11" s="160"/>
      <c r="V11" s="8"/>
      <c r="W11" s="8"/>
    </row>
    <row r="12" spans="1:23" ht="18.75" x14ac:dyDescent="0.2">
      <c r="A12" s="156"/>
      <c r="B12" s="31" t="s">
        <v>18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2"/>
      <c r="R12" s="159"/>
      <c r="S12" s="160"/>
      <c r="T12" s="10"/>
    </row>
    <row r="13" spans="1:23" ht="18.75" x14ac:dyDescent="0.2">
      <c r="A13" s="156"/>
      <c r="B13" s="31" t="s">
        <v>19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>
        <v>28</v>
      </c>
      <c r="N13" s="50"/>
      <c r="O13" s="50">
        <v>11</v>
      </c>
      <c r="P13" s="51"/>
      <c r="Q13" s="52"/>
      <c r="R13" s="157"/>
      <c r="S13" s="158"/>
      <c r="T13" s="10"/>
    </row>
    <row r="14" spans="1:23" ht="15.95" customHeight="1" x14ac:dyDescent="0.2">
      <c r="A14" s="156"/>
      <c r="B14" s="31" t="s">
        <v>20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52"/>
      <c r="R14" s="157"/>
      <c r="S14" s="158"/>
      <c r="T14" s="10"/>
    </row>
    <row r="15" spans="1:23" ht="18.75" x14ac:dyDescent="0.2">
      <c r="A15" s="161" t="s">
        <v>21</v>
      </c>
      <c r="B15" s="31" t="s">
        <v>16</v>
      </c>
      <c r="C15" s="50"/>
      <c r="D15" s="50">
        <f>15+18+6+5+14</f>
        <v>58</v>
      </c>
      <c r="E15" s="50">
        <f>10+5+5+6</f>
        <v>26</v>
      </c>
      <c r="F15" s="50"/>
      <c r="G15" s="50"/>
      <c r="H15" s="50"/>
      <c r="I15" s="50"/>
      <c r="J15" s="50">
        <f>15+20+11+6</f>
        <v>52</v>
      </c>
      <c r="K15" s="50"/>
      <c r="L15" s="50"/>
      <c r="M15" s="50"/>
      <c r="N15" s="50"/>
      <c r="O15" s="50"/>
      <c r="P15" s="51"/>
      <c r="Q15" s="52"/>
      <c r="R15" s="157"/>
      <c r="S15" s="158"/>
    </row>
    <row r="16" spans="1:23" ht="18.75" x14ac:dyDescent="0.2">
      <c r="A16" s="162"/>
      <c r="B16" s="31" t="s">
        <v>17</v>
      </c>
      <c r="C16" s="50"/>
      <c r="D16" s="50"/>
      <c r="E16" s="50"/>
      <c r="F16" s="50"/>
      <c r="G16" s="50"/>
      <c r="H16" s="50"/>
      <c r="I16" s="50"/>
      <c r="J16" s="50">
        <f>20+10</f>
        <v>30</v>
      </c>
      <c r="K16" s="50"/>
      <c r="L16" s="50"/>
      <c r="M16" s="50"/>
      <c r="N16" s="50"/>
      <c r="O16" s="50"/>
      <c r="P16" s="51"/>
      <c r="Q16" s="52"/>
      <c r="R16" s="157"/>
      <c r="S16" s="158"/>
    </row>
    <row r="17" spans="1:24" ht="18.75" x14ac:dyDescent="0.2">
      <c r="A17" s="143" t="s">
        <v>22</v>
      </c>
      <c r="B17" s="73" t="s">
        <v>17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1"/>
      <c r="Q17" s="52"/>
      <c r="R17" s="159"/>
      <c r="S17" s="160"/>
    </row>
    <row r="18" spans="1:24" ht="18.75" x14ac:dyDescent="0.2">
      <c r="A18" s="144"/>
      <c r="B18" s="73" t="s">
        <v>18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52"/>
      <c r="R18" s="157"/>
      <c r="S18" s="158"/>
    </row>
    <row r="19" spans="1:24" ht="18.75" x14ac:dyDescent="0.2">
      <c r="A19" s="75" t="s">
        <v>23</v>
      </c>
      <c r="B19" s="73" t="s">
        <v>24</v>
      </c>
      <c r="C19" s="50"/>
      <c r="D19" s="50"/>
      <c r="E19" s="50"/>
      <c r="F19" s="50"/>
      <c r="G19" s="50"/>
      <c r="H19" s="50"/>
      <c r="I19" s="50"/>
      <c r="J19" s="50">
        <f>10+10+6</f>
        <v>26</v>
      </c>
      <c r="K19" s="50"/>
      <c r="L19" s="50"/>
      <c r="M19" s="50"/>
      <c r="N19" s="50"/>
      <c r="O19" s="50"/>
      <c r="P19" s="51"/>
      <c r="Q19" s="52"/>
      <c r="R19" s="157"/>
      <c r="S19" s="158"/>
    </row>
    <row r="20" spans="1:24" ht="18.75" x14ac:dyDescent="0.2">
      <c r="A20" s="75" t="s">
        <v>25</v>
      </c>
      <c r="B20" s="73" t="s">
        <v>24</v>
      </c>
      <c r="C20" s="50"/>
      <c r="D20" s="50">
        <v>3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157"/>
      <c r="S20" s="158"/>
    </row>
    <row r="21" spans="1:24" ht="18.75" x14ac:dyDescent="0.2">
      <c r="A21" s="75" t="s">
        <v>26</v>
      </c>
      <c r="B21" s="73" t="s">
        <v>24</v>
      </c>
      <c r="C21" s="50"/>
      <c r="D21" s="50">
        <f>6+5</f>
        <v>11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157"/>
      <c r="S21" s="158"/>
    </row>
    <row r="22" spans="1:24" ht="18.75" x14ac:dyDescent="0.2">
      <c r="A22" s="75" t="s">
        <v>27</v>
      </c>
      <c r="B22" s="73" t="s">
        <v>18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157"/>
      <c r="S22" s="158"/>
      <c r="X22" s="11"/>
    </row>
    <row r="23" spans="1:24" ht="18.75" x14ac:dyDescent="0.2">
      <c r="A23" s="74" t="s">
        <v>28</v>
      </c>
      <c r="B23" s="31" t="s">
        <v>17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157"/>
      <c r="S23" s="158"/>
    </row>
    <row r="24" spans="1:24" ht="18.75" x14ac:dyDescent="0.2">
      <c r="A24" s="72" t="s">
        <v>29</v>
      </c>
      <c r="B24" s="73" t="s">
        <v>17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157"/>
      <c r="S24" s="158"/>
      <c r="X24" s="11"/>
    </row>
    <row r="25" spans="1:24" ht="18.75" x14ac:dyDescent="0.2">
      <c r="A25" s="145" t="s">
        <v>78</v>
      </c>
      <c r="B25" s="73" t="s">
        <v>18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1"/>
      <c r="Q25" s="52"/>
      <c r="R25" s="163"/>
      <c r="S25" s="158"/>
    </row>
    <row r="26" spans="1:24" ht="18.75" x14ac:dyDescent="0.2">
      <c r="A26" s="146"/>
      <c r="B26" s="73" t="s">
        <v>19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157"/>
      <c r="S26" s="158"/>
      <c r="X26" s="11"/>
    </row>
    <row r="27" spans="1:24" ht="18.75" x14ac:dyDescent="0.2">
      <c r="A27" s="145" t="s">
        <v>75</v>
      </c>
      <c r="B27" s="73" t="s">
        <v>18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42"/>
      <c r="S27" s="43"/>
    </row>
    <row r="28" spans="1:24" ht="18.75" x14ac:dyDescent="0.2">
      <c r="A28" s="147"/>
      <c r="B28" s="73" t="s">
        <v>17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42"/>
      <c r="S28" s="43"/>
    </row>
    <row r="29" spans="1:24" ht="18.75" x14ac:dyDescent="0.2">
      <c r="A29" s="146"/>
      <c r="B29" s="73" t="s">
        <v>16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42"/>
      <c r="S29" s="43"/>
    </row>
    <row r="30" spans="1:24" ht="18.75" x14ac:dyDescent="0.2">
      <c r="A30" s="145" t="s">
        <v>104</v>
      </c>
      <c r="B30" s="73" t="s">
        <v>18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42"/>
      <c r="S30" s="43"/>
    </row>
    <row r="31" spans="1:24" ht="18.75" x14ac:dyDescent="0.2">
      <c r="A31" s="147"/>
      <c r="B31" s="73" t="s">
        <v>17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42"/>
      <c r="S31" s="43"/>
    </row>
    <row r="32" spans="1:24" ht="18.75" x14ac:dyDescent="0.2">
      <c r="A32" s="147"/>
      <c r="B32" s="73" t="s">
        <v>16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42"/>
      <c r="S32" s="43"/>
    </row>
    <row r="33" spans="1:19" ht="18.75" x14ac:dyDescent="0.2">
      <c r="A33" s="146"/>
      <c r="B33" s="73" t="s">
        <v>19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42"/>
      <c r="S33" s="43"/>
    </row>
    <row r="34" spans="1:19" ht="18.75" x14ac:dyDescent="0.2">
      <c r="A34" s="148" t="s">
        <v>105</v>
      </c>
      <c r="B34" s="73" t="s">
        <v>18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42"/>
      <c r="S34" s="43"/>
    </row>
    <row r="35" spans="1:19" ht="18.75" x14ac:dyDescent="0.2">
      <c r="A35" s="149"/>
      <c r="B35" s="73" t="s">
        <v>17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42"/>
      <c r="S35" s="43"/>
    </row>
    <row r="36" spans="1:19" ht="18.75" x14ac:dyDescent="0.2">
      <c r="A36" s="150"/>
      <c r="B36" s="73" t="s">
        <v>16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42"/>
      <c r="S36" s="43"/>
    </row>
    <row r="37" spans="1:19" ht="19.5" thickBot="1" x14ac:dyDescent="0.25">
      <c r="A37" s="164" t="s">
        <v>30</v>
      </c>
      <c r="B37" s="165"/>
      <c r="C37" s="40">
        <f>SUM(C9:C36)</f>
        <v>23</v>
      </c>
      <c r="D37" s="40">
        <f t="shared" ref="D37:Q37" si="0">SUM(D9:D36)</f>
        <v>72</v>
      </c>
      <c r="E37" s="40">
        <f t="shared" si="0"/>
        <v>26</v>
      </c>
      <c r="F37" s="40">
        <f t="shared" si="0"/>
        <v>0</v>
      </c>
      <c r="G37" s="40">
        <f t="shared" si="0"/>
        <v>0</v>
      </c>
      <c r="H37" s="40">
        <f t="shared" si="0"/>
        <v>0</v>
      </c>
      <c r="I37" s="40">
        <f t="shared" si="0"/>
        <v>32</v>
      </c>
      <c r="J37" s="40">
        <f t="shared" si="0"/>
        <v>108</v>
      </c>
      <c r="K37" s="40">
        <f t="shared" si="0"/>
        <v>0</v>
      </c>
      <c r="L37" s="40">
        <f t="shared" si="0"/>
        <v>0</v>
      </c>
      <c r="M37" s="40">
        <f t="shared" si="0"/>
        <v>28</v>
      </c>
      <c r="N37" s="40">
        <f t="shared" si="0"/>
        <v>0</v>
      </c>
      <c r="O37" s="40">
        <f t="shared" si="0"/>
        <v>11</v>
      </c>
      <c r="P37" s="40">
        <f t="shared" si="0"/>
        <v>0</v>
      </c>
      <c r="Q37" s="40">
        <f t="shared" si="0"/>
        <v>0</v>
      </c>
      <c r="R37" s="138"/>
      <c r="S37" s="139"/>
    </row>
    <row r="38" spans="1:19" ht="16.5" thickBot="1" x14ac:dyDescent="0.25">
      <c r="A38" s="164"/>
      <c r="B38" s="165"/>
      <c r="C38" s="166">
        <f>SUM(C37:G37)</f>
        <v>121</v>
      </c>
      <c r="D38" s="167"/>
      <c r="E38" s="167"/>
      <c r="F38" s="167"/>
      <c r="G38" s="168"/>
      <c r="H38" s="169">
        <f>SUM(H37:K37)</f>
        <v>140</v>
      </c>
      <c r="I38" s="170"/>
      <c r="J38" s="170"/>
      <c r="K38" s="171"/>
      <c r="L38" s="169">
        <f>SUM(L37:P37)</f>
        <v>39</v>
      </c>
      <c r="M38" s="170"/>
      <c r="N38" s="170"/>
      <c r="O38" s="170"/>
      <c r="P38" s="171"/>
      <c r="Q38" s="27"/>
      <c r="R38" s="138"/>
      <c r="S38" s="139"/>
    </row>
    <row r="39" spans="1:19" ht="23.25" x14ac:dyDescent="0.2">
      <c r="A39" s="172" t="s">
        <v>18</v>
      </c>
      <c r="B39" s="173"/>
      <c r="C39" s="37">
        <f>+C12*C8+C18*C8+C22*C8++C25*C8+C27*C8+C30*C34*C8</f>
        <v>0</v>
      </c>
      <c r="D39" s="37">
        <f t="shared" ref="D39:Q39" si="1">+D12*D8+D18*D8+D22*D8++D25*D8+D27*D8+D30*D34*D8</f>
        <v>0</v>
      </c>
      <c r="E39" s="37">
        <f t="shared" si="1"/>
        <v>0</v>
      </c>
      <c r="F39" s="37">
        <f t="shared" si="1"/>
        <v>0</v>
      </c>
      <c r="G39" s="37">
        <f t="shared" si="1"/>
        <v>0</v>
      </c>
      <c r="H39" s="37">
        <f>+H12*H8+H18*H8+H22*H8++H25*H8+H27*H8+H30*H34*H8</f>
        <v>0</v>
      </c>
      <c r="I39" s="37">
        <f t="shared" si="1"/>
        <v>0</v>
      </c>
      <c r="J39" s="37">
        <f t="shared" si="1"/>
        <v>0</v>
      </c>
      <c r="K39" s="37">
        <f t="shared" si="1"/>
        <v>0</v>
      </c>
      <c r="L39" s="37">
        <f t="shared" si="1"/>
        <v>0</v>
      </c>
      <c r="M39" s="37">
        <f t="shared" si="1"/>
        <v>0</v>
      </c>
      <c r="N39" s="37">
        <f t="shared" si="1"/>
        <v>0</v>
      </c>
      <c r="O39" s="37">
        <f t="shared" si="1"/>
        <v>0</v>
      </c>
      <c r="P39" s="37">
        <f t="shared" si="1"/>
        <v>0</v>
      </c>
      <c r="Q39" s="37">
        <f t="shared" si="1"/>
        <v>0</v>
      </c>
      <c r="R39" s="41">
        <f>SUM(C39:Q39)</f>
        <v>0</v>
      </c>
      <c r="S39" s="128">
        <f>SUM(R39:R44)</f>
        <v>13544</v>
      </c>
    </row>
    <row r="40" spans="1:19" ht="23.25" x14ac:dyDescent="0.2">
      <c r="A40" s="172" t="s">
        <v>17</v>
      </c>
      <c r="B40" s="173"/>
      <c r="C40" s="37">
        <f>+C11*C8+C16*C8+C17*C8+C19*C8+C20*C8+C21*C8+C23*C8+C24*C8+C28*C8+C31*C8+C35*C8</f>
        <v>138</v>
      </c>
      <c r="D40" s="37">
        <f t="shared" ref="D40:Q40" si="2">+D11*D8+D16*D8+D17*D8+D19*D8+D20*D8+D21*D8+D23*D8+D24*D8+D28*D8+D31*D8+D35*D8</f>
        <v>168</v>
      </c>
      <c r="E40" s="37">
        <f t="shared" si="2"/>
        <v>0</v>
      </c>
      <c r="F40" s="37">
        <f t="shared" si="2"/>
        <v>0</v>
      </c>
      <c r="G40" s="37">
        <f t="shared" si="2"/>
        <v>0</v>
      </c>
      <c r="H40" s="37">
        <f t="shared" si="2"/>
        <v>0</v>
      </c>
      <c r="I40" s="37">
        <f t="shared" si="2"/>
        <v>0</v>
      </c>
      <c r="J40" s="37">
        <f t="shared" si="2"/>
        <v>1680</v>
      </c>
      <c r="K40" s="37">
        <f t="shared" si="2"/>
        <v>0</v>
      </c>
      <c r="L40" s="37">
        <f t="shared" si="2"/>
        <v>0</v>
      </c>
      <c r="M40" s="37">
        <f t="shared" si="2"/>
        <v>0</v>
      </c>
      <c r="N40" s="37">
        <f t="shared" si="2"/>
        <v>0</v>
      </c>
      <c r="O40" s="37">
        <f t="shared" si="2"/>
        <v>0</v>
      </c>
      <c r="P40" s="37">
        <f t="shared" si="2"/>
        <v>0</v>
      </c>
      <c r="Q40" s="37">
        <f t="shared" si="2"/>
        <v>0</v>
      </c>
      <c r="R40" s="41">
        <f t="shared" ref="R40:R43" si="3">SUM(C40:Q40)</f>
        <v>1986</v>
      </c>
      <c r="S40" s="129"/>
    </row>
    <row r="41" spans="1:19" ht="23.25" x14ac:dyDescent="0.2">
      <c r="A41" s="172" t="s">
        <v>16</v>
      </c>
      <c r="B41" s="173"/>
      <c r="C41" s="37">
        <f>+C10*C8+C15*C8+C29*C8+C32*C8+C36*C8</f>
        <v>0</v>
      </c>
      <c r="D41" s="37">
        <f t="shared" ref="D41:P41" si="4">+D10*D8+D15*D8+D29*D8+D32*D8+D36*D8</f>
        <v>696</v>
      </c>
      <c r="E41" s="37">
        <f t="shared" si="4"/>
        <v>390</v>
      </c>
      <c r="F41" s="37">
        <f t="shared" si="4"/>
        <v>0</v>
      </c>
      <c r="G41" s="37">
        <f t="shared" si="4"/>
        <v>0</v>
      </c>
      <c r="H41" s="37">
        <f t="shared" si="4"/>
        <v>0</v>
      </c>
      <c r="I41" s="37">
        <f t="shared" si="4"/>
        <v>0</v>
      </c>
      <c r="J41" s="37">
        <f t="shared" si="4"/>
        <v>1560</v>
      </c>
      <c r="K41" s="37">
        <f t="shared" si="4"/>
        <v>0</v>
      </c>
      <c r="L41" s="37">
        <f t="shared" si="4"/>
        <v>0</v>
      </c>
      <c r="M41" s="37">
        <f t="shared" si="4"/>
        <v>0</v>
      </c>
      <c r="N41" s="37">
        <f t="shared" si="4"/>
        <v>0</v>
      </c>
      <c r="O41" s="37">
        <f t="shared" si="4"/>
        <v>0</v>
      </c>
      <c r="P41" s="37">
        <f t="shared" si="4"/>
        <v>0</v>
      </c>
      <c r="Q41" s="37">
        <f>+Q10*Q8+Q15*Q8+Q29*Q8+Q32*Q8+Q36*Q8</f>
        <v>0</v>
      </c>
      <c r="R41" s="41">
        <f t="shared" si="3"/>
        <v>2646</v>
      </c>
      <c r="S41" s="129"/>
    </row>
    <row r="42" spans="1:19" ht="23.25" x14ac:dyDescent="0.2">
      <c r="A42" s="172" t="s">
        <v>15</v>
      </c>
      <c r="B42" s="175"/>
      <c r="C42" s="37">
        <f>+C9*C8</f>
        <v>0</v>
      </c>
      <c r="D42" s="37">
        <f t="shared" ref="D42:Q42" si="5">+D9*D8</f>
        <v>0</v>
      </c>
      <c r="E42" s="37">
        <f t="shared" si="5"/>
        <v>0</v>
      </c>
      <c r="F42" s="37">
        <f t="shared" si="5"/>
        <v>0</v>
      </c>
      <c r="G42" s="37">
        <f t="shared" si="5"/>
        <v>0</v>
      </c>
      <c r="H42" s="37">
        <f t="shared" si="5"/>
        <v>0</v>
      </c>
      <c r="I42" s="37">
        <f t="shared" si="5"/>
        <v>640</v>
      </c>
      <c r="J42" s="37">
        <f t="shared" si="5"/>
        <v>0</v>
      </c>
      <c r="K42" s="37">
        <f t="shared" si="5"/>
        <v>0</v>
      </c>
      <c r="L42" s="37">
        <f t="shared" si="5"/>
        <v>0</v>
      </c>
      <c r="M42" s="37">
        <f t="shared" si="5"/>
        <v>0</v>
      </c>
      <c r="N42" s="37">
        <f t="shared" si="5"/>
        <v>0</v>
      </c>
      <c r="O42" s="37">
        <f t="shared" si="5"/>
        <v>0</v>
      </c>
      <c r="P42" s="37">
        <f t="shared" si="5"/>
        <v>0</v>
      </c>
      <c r="Q42" s="38">
        <f t="shared" si="5"/>
        <v>0</v>
      </c>
      <c r="R42" s="41">
        <f t="shared" si="3"/>
        <v>640</v>
      </c>
      <c r="S42" s="129"/>
    </row>
    <row r="43" spans="1:19" ht="23.25" x14ac:dyDescent="0.2">
      <c r="A43" s="172" t="s">
        <v>19</v>
      </c>
      <c r="B43" s="173"/>
      <c r="C43" s="37">
        <f>+C13*C8+C26*C8+C33*C8</f>
        <v>0</v>
      </c>
      <c r="D43" s="37">
        <f t="shared" ref="D43:Q43" si="6">+D13*D8+D26*D8+D33*D8</f>
        <v>0</v>
      </c>
      <c r="E43" s="37">
        <f t="shared" si="6"/>
        <v>0</v>
      </c>
      <c r="F43" s="37">
        <f t="shared" si="6"/>
        <v>0</v>
      </c>
      <c r="G43" s="37">
        <f t="shared" si="6"/>
        <v>0</v>
      </c>
      <c r="H43" s="37">
        <f t="shared" si="6"/>
        <v>0</v>
      </c>
      <c r="I43" s="37">
        <f t="shared" si="6"/>
        <v>0</v>
      </c>
      <c r="J43" s="37">
        <f t="shared" si="6"/>
        <v>0</v>
      </c>
      <c r="K43" s="37">
        <f t="shared" si="6"/>
        <v>0</v>
      </c>
      <c r="L43" s="37">
        <f t="shared" si="6"/>
        <v>0</v>
      </c>
      <c r="M43" s="37">
        <f t="shared" si="6"/>
        <v>840</v>
      </c>
      <c r="N43" s="37">
        <f t="shared" si="6"/>
        <v>0</v>
      </c>
      <c r="O43" s="37">
        <f t="shared" si="6"/>
        <v>660</v>
      </c>
      <c r="P43" s="37">
        <f t="shared" si="6"/>
        <v>0</v>
      </c>
      <c r="Q43" s="37">
        <f t="shared" si="6"/>
        <v>0</v>
      </c>
      <c r="R43" s="41">
        <f t="shared" si="3"/>
        <v>1500</v>
      </c>
      <c r="S43" s="129"/>
    </row>
    <row r="44" spans="1:19" ht="18.75" x14ac:dyDescent="0.2">
      <c r="A44" s="176" t="s">
        <v>31</v>
      </c>
      <c r="B44" s="177"/>
      <c r="C44" s="39">
        <f>SUM(C39:C43)</f>
        <v>138</v>
      </c>
      <c r="D44" s="39">
        <f t="shared" ref="D44:R44" si="7">SUM(D39:D43)</f>
        <v>864</v>
      </c>
      <c r="E44" s="39">
        <f t="shared" si="7"/>
        <v>390</v>
      </c>
      <c r="F44" s="39">
        <f t="shared" si="7"/>
        <v>0</v>
      </c>
      <c r="G44" s="39">
        <f t="shared" si="7"/>
        <v>0</v>
      </c>
      <c r="H44" s="39">
        <f t="shared" si="7"/>
        <v>0</v>
      </c>
      <c r="I44" s="39">
        <f t="shared" si="7"/>
        <v>640</v>
      </c>
      <c r="J44" s="39">
        <f t="shared" si="7"/>
        <v>3240</v>
      </c>
      <c r="K44" s="39">
        <f t="shared" si="7"/>
        <v>0</v>
      </c>
      <c r="L44" s="39">
        <f t="shared" si="7"/>
        <v>0</v>
      </c>
      <c r="M44" s="39">
        <f t="shared" si="7"/>
        <v>840</v>
      </c>
      <c r="N44" s="39">
        <f t="shared" si="7"/>
        <v>0</v>
      </c>
      <c r="O44" s="39">
        <f t="shared" si="7"/>
        <v>660</v>
      </c>
      <c r="P44" s="39">
        <f t="shared" si="7"/>
        <v>0</v>
      </c>
      <c r="Q44" s="39">
        <f t="shared" si="7"/>
        <v>0</v>
      </c>
      <c r="R44" s="39">
        <f t="shared" si="7"/>
        <v>6772</v>
      </c>
      <c r="S44" s="174"/>
    </row>
    <row r="45" spans="1:19" x14ac:dyDescent="0.2">
      <c r="A45" s="12" t="s">
        <v>32</v>
      </c>
      <c r="B45" s="182"/>
      <c r="C45" s="182"/>
      <c r="D45" s="182"/>
      <c r="E45" s="182"/>
      <c r="F45" s="182"/>
      <c r="G45" s="182"/>
      <c r="H45" s="182"/>
      <c r="I45" s="182"/>
      <c r="J45" s="13"/>
      <c r="K45" s="13"/>
      <c r="L45" s="13"/>
      <c r="M45" s="183" t="s">
        <v>33</v>
      </c>
      <c r="N45" s="183"/>
      <c r="O45" s="183"/>
      <c r="P45" s="183"/>
      <c r="Q45" s="183"/>
      <c r="R45" s="47"/>
      <c r="S45" s="28"/>
    </row>
    <row r="46" spans="1:19" ht="12.75" thickBot="1" x14ac:dyDescent="0.25">
      <c r="A46" s="178" t="s">
        <v>34</v>
      </c>
      <c r="B46" s="179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80"/>
      <c r="N46" s="180"/>
      <c r="O46" s="180"/>
      <c r="P46" s="180"/>
      <c r="Q46" s="180"/>
      <c r="R46" s="49"/>
      <c r="S46" s="30"/>
    </row>
    <row r="47" spans="1:19" ht="12.75" thickBot="1" x14ac:dyDescent="0.25">
      <c r="A47" s="178" t="s">
        <v>34</v>
      </c>
      <c r="B47" s="179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80"/>
      <c r="N47" s="180"/>
      <c r="O47" s="180"/>
      <c r="P47" s="180"/>
      <c r="Q47" s="180"/>
      <c r="R47" s="181"/>
      <c r="S47" s="181"/>
    </row>
  </sheetData>
  <mergeCells count="59">
    <mergeCell ref="A47:B47"/>
    <mergeCell ref="M47:Q47"/>
    <mergeCell ref="R47:S47"/>
    <mergeCell ref="M46:Q46"/>
    <mergeCell ref="B45:I45"/>
    <mergeCell ref="M45:Q45"/>
    <mergeCell ref="A46:B46"/>
    <mergeCell ref="A39:B39"/>
    <mergeCell ref="S39:S44"/>
    <mergeCell ref="A40:B40"/>
    <mergeCell ref="A41:B41"/>
    <mergeCell ref="A42:B42"/>
    <mergeCell ref="A43:B43"/>
    <mergeCell ref="A44:B44"/>
    <mergeCell ref="A37:B38"/>
    <mergeCell ref="R37:S37"/>
    <mergeCell ref="C38:G38"/>
    <mergeCell ref="H38:K38"/>
    <mergeCell ref="L38:P38"/>
    <mergeCell ref="R38:S38"/>
    <mergeCell ref="R22:S22"/>
    <mergeCell ref="R23:S23"/>
    <mergeCell ref="R24:S24"/>
    <mergeCell ref="R25:S25"/>
    <mergeCell ref="R26:S26"/>
    <mergeCell ref="R7:S8"/>
    <mergeCell ref="A9:A14"/>
    <mergeCell ref="R19:S19"/>
    <mergeCell ref="R20:S20"/>
    <mergeCell ref="R21:S21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A15:A16"/>
    <mergeCell ref="B6:N6"/>
    <mergeCell ref="P6:Q6"/>
    <mergeCell ref="A7:A8"/>
    <mergeCell ref="B7:B8"/>
    <mergeCell ref="C7:G7"/>
    <mergeCell ref="H7:K7"/>
    <mergeCell ref="L7:P7"/>
    <mergeCell ref="A2:B5"/>
    <mergeCell ref="C2:Q5"/>
    <mergeCell ref="R2:S2"/>
    <mergeCell ref="R3:S3"/>
    <mergeCell ref="R4:S4"/>
    <mergeCell ref="R5:S5"/>
    <mergeCell ref="A17:A18"/>
    <mergeCell ref="A25:A26"/>
    <mergeCell ref="A27:A29"/>
    <mergeCell ref="A30:A33"/>
    <mergeCell ref="A34:A36"/>
  </mergeCells>
  <conditionalFormatting sqref="C9:Q36">
    <cfRule type="cellIs" dxfId="2" priority="1" operator="greaterThan">
      <formula>0</formula>
    </cfRule>
  </conditionalFormatting>
  <pageMargins left="0.7" right="0.7" top="0.75" bottom="0.75" header="0.3" footer="0.3"/>
  <pageSetup paperSize="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7"/>
  <sheetViews>
    <sheetView workbookViewId="0">
      <selection activeCell="M13" sqref="M13"/>
    </sheetView>
  </sheetViews>
  <sheetFormatPr baseColWidth="10" defaultColWidth="11.42578125" defaultRowHeight="12" x14ac:dyDescent="0.2"/>
  <cols>
    <col min="1" max="1" width="17.42578125" style="1" bestFit="1" customWidth="1"/>
    <col min="2" max="2" width="10.85546875" style="2" customWidth="1"/>
    <col min="3" max="3" width="7.42578125" style="3" bestFit="1" customWidth="1"/>
    <col min="4" max="4" width="7.7109375" style="3" bestFit="1" customWidth="1"/>
    <col min="5" max="7" width="7.42578125" style="3" bestFit="1" customWidth="1"/>
    <col min="8" max="11" width="8" style="3" bestFit="1" customWidth="1"/>
    <col min="12" max="16" width="9.85546875" style="3" bestFit="1" customWidth="1"/>
    <col min="17" max="17" width="10.85546875" style="3" bestFit="1" customWidth="1"/>
    <col min="18" max="18" width="10.140625" style="3" bestFit="1" customWidth="1"/>
    <col min="19" max="19" width="15.28515625" style="3" customWidth="1"/>
    <col min="20" max="21" width="11.42578125" style="3"/>
    <col min="22" max="22" width="14.42578125" style="3" bestFit="1" customWidth="1"/>
    <col min="23" max="23" width="8.5703125" style="3" bestFit="1" customWidth="1"/>
    <col min="24" max="34" width="11.42578125" style="3"/>
    <col min="35" max="35" width="1.42578125" style="3" bestFit="1" customWidth="1"/>
    <col min="36" max="16384" width="11.42578125" style="3"/>
  </cols>
  <sheetData>
    <row r="1" spans="1:23" ht="12.75" thickBot="1" x14ac:dyDescent="0.25">
      <c r="J1" s="4"/>
      <c r="K1" s="4"/>
    </row>
    <row r="2" spans="1:23" ht="12" hidden="1" customHeight="1" x14ac:dyDescent="0.2">
      <c r="A2" s="100"/>
      <c r="B2" s="101"/>
      <c r="C2" s="151" t="s">
        <v>0</v>
      </c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00" t="s">
        <v>1</v>
      </c>
      <c r="S2" s="101"/>
    </row>
    <row r="3" spans="1:23" ht="12" hidden="1" customHeight="1" x14ac:dyDescent="0.2">
      <c r="A3" s="102"/>
      <c r="B3" s="103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02" t="s">
        <v>2</v>
      </c>
      <c r="S3" s="103"/>
    </row>
    <row r="4" spans="1:23" ht="12" hidden="1" customHeight="1" x14ac:dyDescent="0.2">
      <c r="A4" s="102"/>
      <c r="B4" s="103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2" t="s">
        <v>3</v>
      </c>
      <c r="S4" s="103"/>
    </row>
    <row r="5" spans="1:23" ht="12.6" hidden="1" customHeight="1" thickBot="1" x14ac:dyDescent="0.25">
      <c r="A5" s="104"/>
      <c r="B5" s="105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04" t="s">
        <v>4</v>
      </c>
      <c r="S5" s="105"/>
    </row>
    <row r="6" spans="1:23" ht="12.6" customHeight="1" thickBot="1" x14ac:dyDescent="0.25">
      <c r="A6" s="5" t="s">
        <v>5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6"/>
      <c r="P6" s="111" t="s">
        <v>6</v>
      </c>
      <c r="Q6" s="112"/>
      <c r="R6" s="7">
        <v>45218</v>
      </c>
      <c r="S6" s="6"/>
    </row>
    <row r="7" spans="1:23" ht="21" customHeight="1" x14ac:dyDescent="0.2">
      <c r="A7" s="154" t="s">
        <v>7</v>
      </c>
      <c r="B7" s="155" t="s">
        <v>8</v>
      </c>
      <c r="C7" s="140" t="s">
        <v>9</v>
      </c>
      <c r="D7" s="141"/>
      <c r="E7" s="141"/>
      <c r="F7" s="141"/>
      <c r="G7" s="142"/>
      <c r="H7" s="140" t="s">
        <v>10</v>
      </c>
      <c r="I7" s="141"/>
      <c r="J7" s="141"/>
      <c r="K7" s="142"/>
      <c r="L7" s="140" t="s">
        <v>11</v>
      </c>
      <c r="M7" s="141"/>
      <c r="N7" s="141"/>
      <c r="O7" s="141"/>
      <c r="P7" s="142"/>
      <c r="Q7" s="32" t="s">
        <v>12</v>
      </c>
      <c r="R7" s="134" t="s">
        <v>13</v>
      </c>
      <c r="S7" s="135"/>
    </row>
    <row r="8" spans="1:23" ht="18" customHeight="1" x14ac:dyDescent="0.2">
      <c r="A8" s="154"/>
      <c r="B8" s="155"/>
      <c r="C8" s="33">
        <v>6</v>
      </c>
      <c r="D8" s="34">
        <v>12</v>
      </c>
      <c r="E8" s="34">
        <v>15</v>
      </c>
      <c r="F8" s="34">
        <v>20</v>
      </c>
      <c r="G8" s="35">
        <v>30</v>
      </c>
      <c r="H8" s="33">
        <v>15</v>
      </c>
      <c r="I8" s="34">
        <v>20</v>
      </c>
      <c r="J8" s="34">
        <v>30</v>
      </c>
      <c r="K8" s="35">
        <v>60</v>
      </c>
      <c r="L8" s="33">
        <v>15</v>
      </c>
      <c r="M8" s="34">
        <v>30</v>
      </c>
      <c r="N8" s="34">
        <v>45</v>
      </c>
      <c r="O8" s="34">
        <v>60</v>
      </c>
      <c r="P8" s="35">
        <v>180</v>
      </c>
      <c r="Q8" s="36">
        <v>1</v>
      </c>
      <c r="R8" s="136"/>
      <c r="S8" s="137"/>
    </row>
    <row r="9" spans="1:23" ht="18.75" x14ac:dyDescent="0.2">
      <c r="A9" s="156" t="s">
        <v>14</v>
      </c>
      <c r="B9" s="31" t="s">
        <v>15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1"/>
      <c r="Q9" s="52"/>
      <c r="R9" s="157"/>
      <c r="S9" s="158"/>
    </row>
    <row r="10" spans="1:23" ht="18.75" x14ac:dyDescent="0.2">
      <c r="A10" s="156"/>
      <c r="B10" s="31" t="s">
        <v>16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1"/>
      <c r="Q10" s="52"/>
      <c r="R10" s="157"/>
      <c r="S10" s="158"/>
      <c r="V10" s="8"/>
      <c r="W10" s="9"/>
    </row>
    <row r="11" spans="1:23" ht="18.75" x14ac:dyDescent="0.2">
      <c r="A11" s="156"/>
      <c r="B11" s="31" t="s">
        <v>17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1"/>
      <c r="Q11" s="52"/>
      <c r="R11" s="159"/>
      <c r="S11" s="160"/>
      <c r="V11" s="8"/>
      <c r="W11" s="8"/>
    </row>
    <row r="12" spans="1:23" ht="18.75" x14ac:dyDescent="0.2">
      <c r="A12" s="156"/>
      <c r="B12" s="31" t="s">
        <v>18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>
        <f>4032+4032</f>
        <v>8064</v>
      </c>
      <c r="N12" s="50"/>
      <c r="O12" s="50"/>
      <c r="P12" s="51"/>
      <c r="Q12" s="52"/>
      <c r="R12" s="159"/>
      <c r="S12" s="160"/>
      <c r="T12" s="10"/>
    </row>
    <row r="13" spans="1:23" ht="18.75" x14ac:dyDescent="0.2">
      <c r="A13" s="156"/>
      <c r="B13" s="31" t="s">
        <v>19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2"/>
      <c r="R13" s="157"/>
      <c r="S13" s="158"/>
      <c r="T13" s="10"/>
    </row>
    <row r="14" spans="1:23" ht="18.75" x14ac:dyDescent="0.2">
      <c r="A14" s="156"/>
      <c r="B14" s="31" t="s">
        <v>20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157"/>
      <c r="S14" s="158"/>
      <c r="T14" s="10"/>
    </row>
    <row r="15" spans="1:23" ht="18.75" x14ac:dyDescent="0.2">
      <c r="A15" s="161" t="s">
        <v>21</v>
      </c>
      <c r="B15" s="31" t="s">
        <v>16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157"/>
      <c r="S15" s="158"/>
    </row>
    <row r="16" spans="1:23" ht="18.75" x14ac:dyDescent="0.2">
      <c r="A16" s="162"/>
      <c r="B16" s="31" t="s">
        <v>17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157"/>
      <c r="S16" s="158"/>
    </row>
    <row r="17" spans="1:24" ht="18.75" x14ac:dyDescent="0.2">
      <c r="A17" s="143" t="s">
        <v>22</v>
      </c>
      <c r="B17" s="73" t="s">
        <v>17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1"/>
      <c r="R17" s="159"/>
      <c r="S17" s="160"/>
    </row>
    <row r="18" spans="1:24" ht="18.75" x14ac:dyDescent="0.2">
      <c r="A18" s="144"/>
      <c r="B18" s="73" t="s">
        <v>18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157"/>
      <c r="S18" s="158"/>
    </row>
    <row r="19" spans="1:24" ht="18.75" x14ac:dyDescent="0.2">
      <c r="A19" s="75" t="s">
        <v>23</v>
      </c>
      <c r="B19" s="73" t="s">
        <v>24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1"/>
      <c r="R19" s="157"/>
      <c r="S19" s="158"/>
    </row>
    <row r="20" spans="1:24" ht="18.75" x14ac:dyDescent="0.2">
      <c r="A20" s="75" t="s">
        <v>25</v>
      </c>
      <c r="B20" s="73" t="s">
        <v>24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1"/>
      <c r="R20" s="157"/>
      <c r="S20" s="158"/>
    </row>
    <row r="21" spans="1:24" ht="18.75" x14ac:dyDescent="0.2">
      <c r="A21" s="75" t="s">
        <v>26</v>
      </c>
      <c r="B21" s="73" t="s">
        <v>24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1"/>
      <c r="R21" s="157"/>
      <c r="S21" s="158"/>
    </row>
    <row r="22" spans="1:24" ht="18.75" x14ac:dyDescent="0.2">
      <c r="A22" s="75" t="s">
        <v>27</v>
      </c>
      <c r="B22" s="73" t="s">
        <v>18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1"/>
      <c r="R22" s="157"/>
      <c r="S22" s="158"/>
      <c r="X22" s="11"/>
    </row>
    <row r="23" spans="1:24" ht="18.75" x14ac:dyDescent="0.2">
      <c r="A23" s="74" t="s">
        <v>28</v>
      </c>
      <c r="B23" s="31" t="s">
        <v>17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157"/>
      <c r="S23" s="158"/>
    </row>
    <row r="24" spans="1:24" ht="18.75" x14ac:dyDescent="0.2">
      <c r="A24" s="72" t="s">
        <v>29</v>
      </c>
      <c r="B24" s="73" t="s">
        <v>17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1"/>
      <c r="R24" s="157"/>
      <c r="S24" s="158"/>
      <c r="X24" s="11"/>
    </row>
    <row r="25" spans="1:24" ht="18.75" x14ac:dyDescent="0.2">
      <c r="A25" s="145" t="s">
        <v>78</v>
      </c>
      <c r="B25" s="73" t="s">
        <v>18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1"/>
      <c r="R25" s="163"/>
      <c r="S25" s="158"/>
      <c r="X25" s="11"/>
    </row>
    <row r="26" spans="1:24" ht="18.75" x14ac:dyDescent="0.2">
      <c r="A26" s="146"/>
      <c r="B26" s="73" t="s">
        <v>19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1"/>
      <c r="R26" s="157"/>
      <c r="S26" s="158"/>
      <c r="X26" s="11"/>
    </row>
    <row r="27" spans="1:24" ht="18.75" x14ac:dyDescent="0.2">
      <c r="A27" s="145" t="s">
        <v>75</v>
      </c>
      <c r="B27" s="73" t="s">
        <v>18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1"/>
      <c r="R27" s="42"/>
      <c r="S27" s="43"/>
      <c r="X27" s="11"/>
    </row>
    <row r="28" spans="1:24" ht="18.75" x14ac:dyDescent="0.2">
      <c r="A28" s="147"/>
      <c r="B28" s="73" t="s">
        <v>17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42"/>
      <c r="S28" s="43"/>
      <c r="X28" s="11"/>
    </row>
    <row r="29" spans="1:24" ht="18.75" x14ac:dyDescent="0.2">
      <c r="A29" s="146"/>
      <c r="B29" s="73" t="s">
        <v>16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42"/>
      <c r="S29" s="43"/>
      <c r="X29" s="11"/>
    </row>
    <row r="30" spans="1:24" ht="18.75" x14ac:dyDescent="0.2">
      <c r="A30" s="145" t="s">
        <v>104</v>
      </c>
      <c r="B30" s="73" t="s">
        <v>18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42"/>
      <c r="S30" s="43"/>
      <c r="X30" s="11"/>
    </row>
    <row r="31" spans="1:24" ht="18.75" x14ac:dyDescent="0.2">
      <c r="A31" s="147"/>
      <c r="B31" s="73" t="s">
        <v>17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42"/>
      <c r="S31" s="43"/>
    </row>
    <row r="32" spans="1:24" ht="18.75" x14ac:dyDescent="0.2">
      <c r="A32" s="147"/>
      <c r="B32" s="73" t="s">
        <v>16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42"/>
      <c r="S32" s="43"/>
      <c r="X32" s="11"/>
    </row>
    <row r="33" spans="1:19" ht="18.75" x14ac:dyDescent="0.2">
      <c r="A33" s="146"/>
      <c r="B33" s="73" t="s">
        <v>19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42"/>
      <c r="S33" s="43"/>
    </row>
    <row r="34" spans="1:19" ht="18.75" x14ac:dyDescent="0.2">
      <c r="A34" s="148" t="s">
        <v>105</v>
      </c>
      <c r="B34" s="73" t="s">
        <v>18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42"/>
      <c r="S34" s="43"/>
    </row>
    <row r="35" spans="1:19" ht="18.75" x14ac:dyDescent="0.2">
      <c r="A35" s="149"/>
      <c r="B35" s="73" t="s">
        <v>17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42"/>
      <c r="S35" s="43"/>
    </row>
    <row r="36" spans="1:19" ht="18.75" x14ac:dyDescent="0.2">
      <c r="A36" s="150"/>
      <c r="B36" s="73" t="s">
        <v>16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42"/>
      <c r="S36" s="43"/>
    </row>
    <row r="37" spans="1:19" ht="19.5" thickBot="1" x14ac:dyDescent="0.25">
      <c r="A37" s="164" t="s">
        <v>30</v>
      </c>
      <c r="B37" s="165"/>
      <c r="C37" s="40">
        <f>SUM(C9:C36)</f>
        <v>0</v>
      </c>
      <c r="D37" s="40">
        <f t="shared" ref="D37:Q37" si="0">SUM(D9:D36)</f>
        <v>0</v>
      </c>
      <c r="E37" s="40">
        <f t="shared" si="0"/>
        <v>0</v>
      </c>
      <c r="F37" s="40">
        <f t="shared" si="0"/>
        <v>0</v>
      </c>
      <c r="G37" s="40">
        <f t="shared" si="0"/>
        <v>0</v>
      </c>
      <c r="H37" s="40">
        <f t="shared" si="0"/>
        <v>0</v>
      </c>
      <c r="I37" s="40">
        <f t="shared" si="0"/>
        <v>0</v>
      </c>
      <c r="J37" s="40">
        <f t="shared" si="0"/>
        <v>0</v>
      </c>
      <c r="K37" s="40">
        <f t="shared" si="0"/>
        <v>0</v>
      </c>
      <c r="L37" s="40">
        <f t="shared" si="0"/>
        <v>0</v>
      </c>
      <c r="M37" s="40">
        <f t="shared" si="0"/>
        <v>8064</v>
      </c>
      <c r="N37" s="40">
        <f t="shared" si="0"/>
        <v>0</v>
      </c>
      <c r="O37" s="40">
        <f t="shared" si="0"/>
        <v>0</v>
      </c>
      <c r="P37" s="40">
        <f t="shared" si="0"/>
        <v>0</v>
      </c>
      <c r="Q37" s="40">
        <f t="shared" si="0"/>
        <v>0</v>
      </c>
      <c r="R37" s="138"/>
      <c r="S37" s="139"/>
    </row>
    <row r="38" spans="1:19" ht="16.5" thickBot="1" x14ac:dyDescent="0.25">
      <c r="A38" s="164"/>
      <c r="B38" s="165"/>
      <c r="C38" s="166">
        <f>SUM(C37:G37)</f>
        <v>0</v>
      </c>
      <c r="D38" s="167"/>
      <c r="E38" s="167"/>
      <c r="F38" s="167"/>
      <c r="G38" s="168"/>
      <c r="H38" s="169">
        <f>SUM(H37:K37)</f>
        <v>0</v>
      </c>
      <c r="I38" s="170"/>
      <c r="J38" s="170"/>
      <c r="K38" s="171"/>
      <c r="L38" s="169">
        <f>SUM(L37:P37)</f>
        <v>8064</v>
      </c>
      <c r="M38" s="170"/>
      <c r="N38" s="170"/>
      <c r="O38" s="170"/>
      <c r="P38" s="171"/>
      <c r="Q38" s="27"/>
      <c r="R38" s="138"/>
      <c r="S38" s="139"/>
    </row>
    <row r="39" spans="1:19" ht="23.25" x14ac:dyDescent="0.2">
      <c r="A39" s="172" t="s">
        <v>18</v>
      </c>
      <c r="B39" s="173"/>
      <c r="C39" s="37">
        <f>+C12*C8+C18*C8+C22*C8++C25*C8+C27*C8+C30*C34*C8</f>
        <v>0</v>
      </c>
      <c r="D39" s="37">
        <f t="shared" ref="D39:Q39" si="1">+D12*D8+D18*D8+D22*D8++D25*D8+D27*D8+D30*D34*D8</f>
        <v>0</v>
      </c>
      <c r="E39" s="37">
        <f t="shared" si="1"/>
        <v>0</v>
      </c>
      <c r="F39" s="37">
        <f t="shared" si="1"/>
        <v>0</v>
      </c>
      <c r="G39" s="37">
        <f t="shared" si="1"/>
        <v>0</v>
      </c>
      <c r="H39" s="37">
        <f>+H12*H8+H18*H8+H22*H8++H25*H8+H27*H8+H30*H34*H8</f>
        <v>0</v>
      </c>
      <c r="I39" s="37">
        <f t="shared" si="1"/>
        <v>0</v>
      </c>
      <c r="J39" s="37">
        <f t="shared" si="1"/>
        <v>0</v>
      </c>
      <c r="K39" s="37">
        <f t="shared" si="1"/>
        <v>0</v>
      </c>
      <c r="L39" s="37">
        <f t="shared" si="1"/>
        <v>0</v>
      </c>
      <c r="M39" s="37">
        <f t="shared" si="1"/>
        <v>241920</v>
      </c>
      <c r="N39" s="37">
        <f t="shared" si="1"/>
        <v>0</v>
      </c>
      <c r="O39" s="37">
        <f t="shared" si="1"/>
        <v>0</v>
      </c>
      <c r="P39" s="37">
        <f t="shared" si="1"/>
        <v>0</v>
      </c>
      <c r="Q39" s="37">
        <f t="shared" si="1"/>
        <v>0</v>
      </c>
      <c r="R39" s="41">
        <f>SUM(C39:Q39)</f>
        <v>241920</v>
      </c>
      <c r="S39" s="128">
        <f>SUM(R39:R44)</f>
        <v>483840</v>
      </c>
    </row>
    <row r="40" spans="1:19" ht="23.25" x14ac:dyDescent="0.2">
      <c r="A40" s="172" t="s">
        <v>17</v>
      </c>
      <c r="B40" s="173"/>
      <c r="C40" s="37">
        <f>+C11*C8+C16*C8+C17*C8+C19*C8+C20*C8+C21*C8+C23*C8+C24*C8+C28*C8+C31*C8+C35*C8</f>
        <v>0</v>
      </c>
      <c r="D40" s="37">
        <f t="shared" ref="D40:Q40" si="2">+D11*D8+D16*D8+D17*D8+D19*D8+D20*D8+D21*D8+D23*D8+D24*D8+D28*D8+D31*D8+D35*D8</f>
        <v>0</v>
      </c>
      <c r="E40" s="37">
        <f t="shared" si="2"/>
        <v>0</v>
      </c>
      <c r="F40" s="37">
        <f t="shared" si="2"/>
        <v>0</v>
      </c>
      <c r="G40" s="37">
        <f t="shared" si="2"/>
        <v>0</v>
      </c>
      <c r="H40" s="37">
        <f t="shared" si="2"/>
        <v>0</v>
      </c>
      <c r="I40" s="37">
        <f t="shared" si="2"/>
        <v>0</v>
      </c>
      <c r="J40" s="37">
        <f t="shared" si="2"/>
        <v>0</v>
      </c>
      <c r="K40" s="37">
        <f t="shared" si="2"/>
        <v>0</v>
      </c>
      <c r="L40" s="37">
        <f t="shared" si="2"/>
        <v>0</v>
      </c>
      <c r="M40" s="37">
        <f t="shared" si="2"/>
        <v>0</v>
      </c>
      <c r="N40" s="37">
        <f t="shared" si="2"/>
        <v>0</v>
      </c>
      <c r="O40" s="37">
        <f t="shared" si="2"/>
        <v>0</v>
      </c>
      <c r="P40" s="37">
        <f t="shared" si="2"/>
        <v>0</v>
      </c>
      <c r="Q40" s="37">
        <f t="shared" si="2"/>
        <v>0</v>
      </c>
      <c r="R40" s="41">
        <f t="shared" ref="R40:R43" si="3">SUM(C40:Q40)</f>
        <v>0</v>
      </c>
      <c r="S40" s="129"/>
    </row>
    <row r="41" spans="1:19" ht="23.25" x14ac:dyDescent="0.2">
      <c r="A41" s="172" t="s">
        <v>16</v>
      </c>
      <c r="B41" s="173"/>
      <c r="C41" s="37">
        <f>+C10*C8+C15*C8+C29*C8+C32*C8+C36*C8</f>
        <v>0</v>
      </c>
      <c r="D41" s="37">
        <f t="shared" ref="D41:P41" si="4">+D10*D8+D15*D8+D29*D8+D32*D8+D36*D8</f>
        <v>0</v>
      </c>
      <c r="E41" s="37">
        <f t="shared" si="4"/>
        <v>0</v>
      </c>
      <c r="F41" s="37">
        <f t="shared" si="4"/>
        <v>0</v>
      </c>
      <c r="G41" s="37">
        <f t="shared" si="4"/>
        <v>0</v>
      </c>
      <c r="H41" s="37">
        <f t="shared" si="4"/>
        <v>0</v>
      </c>
      <c r="I41" s="37">
        <f t="shared" si="4"/>
        <v>0</v>
      </c>
      <c r="J41" s="37">
        <f t="shared" si="4"/>
        <v>0</v>
      </c>
      <c r="K41" s="37">
        <f t="shared" si="4"/>
        <v>0</v>
      </c>
      <c r="L41" s="37">
        <f t="shared" si="4"/>
        <v>0</v>
      </c>
      <c r="M41" s="37">
        <f t="shared" si="4"/>
        <v>0</v>
      </c>
      <c r="N41" s="37">
        <f t="shared" si="4"/>
        <v>0</v>
      </c>
      <c r="O41" s="37">
        <f t="shared" si="4"/>
        <v>0</v>
      </c>
      <c r="P41" s="37">
        <f t="shared" si="4"/>
        <v>0</v>
      </c>
      <c r="Q41" s="37">
        <f>+Q10*Q8+Q15*Q8+Q29*Q8+Q32*Q8+Q36*Q8</f>
        <v>0</v>
      </c>
      <c r="R41" s="41">
        <f t="shared" si="3"/>
        <v>0</v>
      </c>
      <c r="S41" s="129"/>
    </row>
    <row r="42" spans="1:19" ht="23.25" x14ac:dyDescent="0.2">
      <c r="A42" s="172" t="s">
        <v>15</v>
      </c>
      <c r="B42" s="175"/>
      <c r="C42" s="37">
        <f>+C9*C8</f>
        <v>0</v>
      </c>
      <c r="D42" s="37">
        <f t="shared" ref="D42:Q42" si="5">+D9*D8</f>
        <v>0</v>
      </c>
      <c r="E42" s="37">
        <f t="shared" si="5"/>
        <v>0</v>
      </c>
      <c r="F42" s="37">
        <f t="shared" si="5"/>
        <v>0</v>
      </c>
      <c r="G42" s="37">
        <f t="shared" si="5"/>
        <v>0</v>
      </c>
      <c r="H42" s="37">
        <f t="shared" si="5"/>
        <v>0</v>
      </c>
      <c r="I42" s="37">
        <f t="shared" si="5"/>
        <v>0</v>
      </c>
      <c r="J42" s="37">
        <f t="shared" si="5"/>
        <v>0</v>
      </c>
      <c r="K42" s="37">
        <f t="shared" si="5"/>
        <v>0</v>
      </c>
      <c r="L42" s="37">
        <f t="shared" si="5"/>
        <v>0</v>
      </c>
      <c r="M42" s="37">
        <f t="shared" si="5"/>
        <v>0</v>
      </c>
      <c r="N42" s="37">
        <f t="shared" si="5"/>
        <v>0</v>
      </c>
      <c r="O42" s="37">
        <f t="shared" si="5"/>
        <v>0</v>
      </c>
      <c r="P42" s="37">
        <f t="shared" si="5"/>
        <v>0</v>
      </c>
      <c r="Q42" s="38">
        <f t="shared" si="5"/>
        <v>0</v>
      </c>
      <c r="R42" s="41">
        <f t="shared" si="3"/>
        <v>0</v>
      </c>
      <c r="S42" s="129"/>
    </row>
    <row r="43" spans="1:19" ht="23.25" x14ac:dyDescent="0.2">
      <c r="A43" s="172" t="s">
        <v>19</v>
      </c>
      <c r="B43" s="173"/>
      <c r="C43" s="37">
        <f>+C13*C8+C26*C8+C33*C8</f>
        <v>0</v>
      </c>
      <c r="D43" s="37">
        <f t="shared" ref="D43:Q43" si="6">+D13*D8+D26*D8+D33*D8</f>
        <v>0</v>
      </c>
      <c r="E43" s="37">
        <f t="shared" si="6"/>
        <v>0</v>
      </c>
      <c r="F43" s="37">
        <f t="shared" si="6"/>
        <v>0</v>
      </c>
      <c r="G43" s="37">
        <f t="shared" si="6"/>
        <v>0</v>
      </c>
      <c r="H43" s="37">
        <f t="shared" si="6"/>
        <v>0</v>
      </c>
      <c r="I43" s="37">
        <f t="shared" si="6"/>
        <v>0</v>
      </c>
      <c r="J43" s="37">
        <f t="shared" si="6"/>
        <v>0</v>
      </c>
      <c r="K43" s="37">
        <f t="shared" si="6"/>
        <v>0</v>
      </c>
      <c r="L43" s="37">
        <f t="shared" si="6"/>
        <v>0</v>
      </c>
      <c r="M43" s="37">
        <f t="shared" si="6"/>
        <v>0</v>
      </c>
      <c r="N43" s="37">
        <f t="shared" si="6"/>
        <v>0</v>
      </c>
      <c r="O43" s="37">
        <f t="shared" si="6"/>
        <v>0</v>
      </c>
      <c r="P43" s="37">
        <f t="shared" si="6"/>
        <v>0</v>
      </c>
      <c r="Q43" s="37">
        <f t="shared" si="6"/>
        <v>0</v>
      </c>
      <c r="R43" s="41">
        <f t="shared" si="3"/>
        <v>0</v>
      </c>
      <c r="S43" s="129"/>
    </row>
    <row r="44" spans="1:19" ht="21" customHeight="1" x14ac:dyDescent="0.2">
      <c r="A44" s="176" t="s">
        <v>31</v>
      </c>
      <c r="B44" s="177"/>
      <c r="C44" s="39">
        <f>SUM(C39:C43)</f>
        <v>0</v>
      </c>
      <c r="D44" s="39">
        <f t="shared" ref="D44:R44" si="7">SUM(D39:D43)</f>
        <v>0</v>
      </c>
      <c r="E44" s="39">
        <f t="shared" si="7"/>
        <v>0</v>
      </c>
      <c r="F44" s="39">
        <f t="shared" si="7"/>
        <v>0</v>
      </c>
      <c r="G44" s="39">
        <f t="shared" si="7"/>
        <v>0</v>
      </c>
      <c r="H44" s="39">
        <f t="shared" si="7"/>
        <v>0</v>
      </c>
      <c r="I44" s="39">
        <f t="shared" si="7"/>
        <v>0</v>
      </c>
      <c r="J44" s="39">
        <f t="shared" si="7"/>
        <v>0</v>
      </c>
      <c r="K44" s="39">
        <f t="shared" si="7"/>
        <v>0</v>
      </c>
      <c r="L44" s="39">
        <f t="shared" si="7"/>
        <v>0</v>
      </c>
      <c r="M44" s="39">
        <f t="shared" si="7"/>
        <v>241920</v>
      </c>
      <c r="N44" s="39">
        <f t="shared" si="7"/>
        <v>0</v>
      </c>
      <c r="O44" s="39">
        <f t="shared" si="7"/>
        <v>0</v>
      </c>
      <c r="P44" s="39">
        <f t="shared" si="7"/>
        <v>0</v>
      </c>
      <c r="Q44" s="39">
        <f t="shared" si="7"/>
        <v>0</v>
      </c>
      <c r="R44" s="39">
        <f t="shared" si="7"/>
        <v>241920</v>
      </c>
      <c r="S44" s="174"/>
    </row>
    <row r="45" spans="1:19" x14ac:dyDescent="0.2">
      <c r="A45" s="12"/>
      <c r="B45" s="182"/>
      <c r="C45" s="182"/>
      <c r="D45" s="182"/>
      <c r="E45" s="182"/>
      <c r="F45" s="182"/>
      <c r="G45" s="182"/>
      <c r="H45" s="182"/>
      <c r="I45" s="182"/>
      <c r="J45" s="13"/>
      <c r="K45" s="13"/>
      <c r="L45" s="13"/>
      <c r="M45" s="183"/>
      <c r="N45" s="183"/>
      <c r="O45" s="183"/>
      <c r="P45" s="183"/>
      <c r="Q45" s="183"/>
      <c r="R45" s="47"/>
      <c r="S45" s="28"/>
    </row>
    <row r="46" spans="1:19" ht="24" customHeight="1" thickBot="1" x14ac:dyDescent="0.25">
      <c r="A46" s="178"/>
      <c r="B46" s="179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80"/>
      <c r="N46" s="180"/>
      <c r="O46" s="180"/>
      <c r="P46" s="180"/>
      <c r="Q46" s="180"/>
      <c r="R46" s="49"/>
      <c r="S46" s="30"/>
    </row>
    <row r="47" spans="1:19" ht="12.75" customHeight="1" x14ac:dyDescent="0.2"/>
  </sheetData>
  <mergeCells count="56">
    <mergeCell ref="M46:Q46"/>
    <mergeCell ref="B45:I45"/>
    <mergeCell ref="M45:Q45"/>
    <mergeCell ref="A46:B46"/>
    <mergeCell ref="A39:B39"/>
    <mergeCell ref="S39:S44"/>
    <mergeCell ref="A40:B40"/>
    <mergeCell ref="A41:B41"/>
    <mergeCell ref="A42:B42"/>
    <mergeCell ref="A43:B43"/>
    <mergeCell ref="A44:B44"/>
    <mergeCell ref="A37:B38"/>
    <mergeCell ref="R37:S37"/>
    <mergeCell ref="C38:G38"/>
    <mergeCell ref="H38:K38"/>
    <mergeCell ref="L38:P38"/>
    <mergeCell ref="R38:S38"/>
    <mergeCell ref="R22:S22"/>
    <mergeCell ref="R23:S23"/>
    <mergeCell ref="R24:S24"/>
    <mergeCell ref="R25:S25"/>
    <mergeCell ref="R26:S26"/>
    <mergeCell ref="R7:S8"/>
    <mergeCell ref="A9:A14"/>
    <mergeCell ref="R19:S19"/>
    <mergeCell ref="R20:S20"/>
    <mergeCell ref="R21:S21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A15:A16"/>
    <mergeCell ref="B6:N6"/>
    <mergeCell ref="P6:Q6"/>
    <mergeCell ref="A7:A8"/>
    <mergeCell ref="B7:B8"/>
    <mergeCell ref="C7:G7"/>
    <mergeCell ref="H7:K7"/>
    <mergeCell ref="L7:P7"/>
    <mergeCell ref="A2:B5"/>
    <mergeCell ref="C2:Q5"/>
    <mergeCell ref="R2:S2"/>
    <mergeCell ref="R3:S3"/>
    <mergeCell ref="R4:S4"/>
    <mergeCell ref="R5:S5"/>
    <mergeCell ref="A17:A18"/>
    <mergeCell ref="A25:A26"/>
    <mergeCell ref="A27:A29"/>
    <mergeCell ref="A30:A33"/>
    <mergeCell ref="A34:A36"/>
  </mergeCells>
  <conditionalFormatting sqref="C9:Q36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6"/>
  <sheetViews>
    <sheetView workbookViewId="0">
      <selection activeCell="M25" sqref="M25:M26"/>
    </sheetView>
  </sheetViews>
  <sheetFormatPr baseColWidth="10" defaultColWidth="11.42578125" defaultRowHeight="12" x14ac:dyDescent="0.2"/>
  <cols>
    <col min="1" max="1" width="22.42578125" style="1" customWidth="1"/>
    <col min="2" max="2" width="10.85546875" style="2" customWidth="1"/>
    <col min="3" max="7" width="7.42578125" style="3" bestFit="1" customWidth="1"/>
    <col min="8" max="11" width="8" style="3" bestFit="1" customWidth="1"/>
    <col min="12" max="16" width="9.85546875" style="3" bestFit="1" customWidth="1"/>
    <col min="17" max="17" width="11.140625" style="3" customWidth="1"/>
    <col min="18" max="18" width="14.5703125" style="3" customWidth="1"/>
    <col min="19" max="19" width="20" style="3" customWidth="1"/>
    <col min="20" max="20" width="11.42578125" style="3"/>
    <col min="21" max="21" width="14.42578125" style="3" bestFit="1" customWidth="1"/>
    <col min="22" max="22" width="8.5703125" style="3" bestFit="1" customWidth="1"/>
    <col min="23" max="33" width="11.42578125" style="3"/>
    <col min="34" max="34" width="1.42578125" style="3" bestFit="1" customWidth="1"/>
    <col min="35" max="16384" width="11.42578125" style="3"/>
  </cols>
  <sheetData>
    <row r="1" spans="1:22" ht="12.75" thickBot="1" x14ac:dyDescent="0.25">
      <c r="J1" s="4"/>
      <c r="K1" s="4"/>
    </row>
    <row r="2" spans="1:22" ht="12" hidden="1" customHeight="1" x14ac:dyDescent="0.2">
      <c r="A2" s="100"/>
      <c r="B2" s="101"/>
      <c r="C2" s="151" t="s">
        <v>0</v>
      </c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00" t="s">
        <v>1</v>
      </c>
      <c r="S2" s="101"/>
    </row>
    <row r="3" spans="1:22" ht="12" hidden="1" customHeight="1" x14ac:dyDescent="0.2">
      <c r="A3" s="102"/>
      <c r="B3" s="103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02" t="s">
        <v>2</v>
      </c>
      <c r="S3" s="103"/>
    </row>
    <row r="4" spans="1:22" ht="12" hidden="1" customHeight="1" x14ac:dyDescent="0.2">
      <c r="A4" s="102"/>
      <c r="B4" s="103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2" t="s">
        <v>3</v>
      </c>
      <c r="S4" s="103"/>
    </row>
    <row r="5" spans="1:22" ht="12.6" hidden="1" customHeight="1" thickBot="1" x14ac:dyDescent="0.25">
      <c r="A5" s="104"/>
      <c r="B5" s="105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04" t="s">
        <v>4</v>
      </c>
      <c r="S5" s="105"/>
    </row>
    <row r="6" spans="1:22" ht="12.6" customHeight="1" thickBot="1" x14ac:dyDescent="0.25">
      <c r="A6" s="5" t="s">
        <v>5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6"/>
      <c r="P6" s="111" t="s">
        <v>6</v>
      </c>
      <c r="Q6" s="112"/>
      <c r="R6" s="7">
        <v>45218</v>
      </c>
      <c r="S6" s="6"/>
    </row>
    <row r="7" spans="1:22" ht="21" customHeight="1" x14ac:dyDescent="0.2">
      <c r="A7" s="154" t="s">
        <v>7</v>
      </c>
      <c r="B7" s="155" t="s">
        <v>8</v>
      </c>
      <c r="C7" s="140" t="s">
        <v>9</v>
      </c>
      <c r="D7" s="141"/>
      <c r="E7" s="141"/>
      <c r="F7" s="141"/>
      <c r="G7" s="142"/>
      <c r="H7" s="140" t="s">
        <v>10</v>
      </c>
      <c r="I7" s="141"/>
      <c r="J7" s="141"/>
      <c r="K7" s="142"/>
      <c r="L7" s="140" t="s">
        <v>11</v>
      </c>
      <c r="M7" s="141"/>
      <c r="N7" s="141"/>
      <c r="O7" s="141"/>
      <c r="P7" s="142"/>
      <c r="Q7" s="32" t="s">
        <v>12</v>
      </c>
      <c r="R7" s="134" t="s">
        <v>13</v>
      </c>
      <c r="S7" s="135"/>
    </row>
    <row r="8" spans="1:22" ht="18" customHeight="1" x14ac:dyDescent="0.2">
      <c r="A8" s="154"/>
      <c r="B8" s="155"/>
      <c r="C8" s="33">
        <v>6</v>
      </c>
      <c r="D8" s="34">
        <v>12</v>
      </c>
      <c r="E8" s="34">
        <v>15</v>
      </c>
      <c r="F8" s="34">
        <v>20</v>
      </c>
      <c r="G8" s="35">
        <v>30</v>
      </c>
      <c r="H8" s="33">
        <v>15</v>
      </c>
      <c r="I8" s="34">
        <v>20</v>
      </c>
      <c r="J8" s="34">
        <v>30</v>
      </c>
      <c r="K8" s="35">
        <v>60</v>
      </c>
      <c r="L8" s="33">
        <v>15</v>
      </c>
      <c r="M8" s="34">
        <v>30</v>
      </c>
      <c r="N8" s="34">
        <v>45</v>
      </c>
      <c r="O8" s="34">
        <v>60</v>
      </c>
      <c r="P8" s="35">
        <v>180</v>
      </c>
      <c r="Q8" s="36">
        <v>1</v>
      </c>
      <c r="R8" s="136"/>
      <c r="S8" s="137"/>
    </row>
    <row r="9" spans="1:22" ht="15.95" customHeight="1" x14ac:dyDescent="0.2">
      <c r="A9" s="156" t="s">
        <v>14</v>
      </c>
      <c r="B9" s="31" t="s">
        <v>15</v>
      </c>
      <c r="C9" s="50">
        <v>0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1">
        <v>0</v>
      </c>
      <c r="Q9" s="52"/>
      <c r="R9" s="157"/>
      <c r="S9" s="158"/>
    </row>
    <row r="10" spans="1:22" ht="15.95" customHeight="1" x14ac:dyDescent="0.2">
      <c r="A10" s="156"/>
      <c r="B10" s="31" t="s">
        <v>16</v>
      </c>
      <c r="C10" s="50">
        <v>0</v>
      </c>
      <c r="D10" s="50">
        <v>40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1">
        <v>0</v>
      </c>
      <c r="Q10" s="52"/>
      <c r="R10" s="157"/>
      <c r="S10" s="158"/>
      <c r="U10" s="8"/>
      <c r="V10" s="9"/>
    </row>
    <row r="11" spans="1:22" ht="18.75" x14ac:dyDescent="0.2">
      <c r="A11" s="156"/>
      <c r="B11" s="31" t="s">
        <v>17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400</v>
      </c>
      <c r="N11" s="50">
        <v>0</v>
      </c>
      <c r="O11" s="50">
        <v>0</v>
      </c>
      <c r="P11" s="51">
        <v>0</v>
      </c>
      <c r="Q11" s="52"/>
      <c r="R11" s="159"/>
      <c r="S11" s="160"/>
      <c r="U11" s="8"/>
      <c r="V11" s="8"/>
    </row>
    <row r="12" spans="1:22" ht="18" customHeight="1" x14ac:dyDescent="0.2">
      <c r="A12" s="156"/>
      <c r="B12" s="31" t="s">
        <v>18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150</v>
      </c>
      <c r="N12" s="50">
        <v>0</v>
      </c>
      <c r="O12" s="50">
        <v>0</v>
      </c>
      <c r="P12" s="51">
        <v>0</v>
      </c>
      <c r="Q12" s="52"/>
      <c r="R12" s="159"/>
      <c r="S12" s="160"/>
    </row>
    <row r="13" spans="1:22" ht="18.75" x14ac:dyDescent="0.2">
      <c r="A13" s="156"/>
      <c r="B13" s="31" t="s">
        <v>19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229</v>
      </c>
      <c r="N13" s="50">
        <v>0</v>
      </c>
      <c r="O13" s="50">
        <v>15</v>
      </c>
      <c r="P13" s="51">
        <v>0</v>
      </c>
      <c r="Q13" s="52"/>
      <c r="R13" s="157"/>
      <c r="S13" s="158"/>
    </row>
    <row r="14" spans="1:22" ht="18.75" x14ac:dyDescent="0.2">
      <c r="A14" s="156"/>
      <c r="B14" s="31" t="s">
        <v>20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1">
        <v>0</v>
      </c>
      <c r="Q14" s="52"/>
      <c r="R14" s="157"/>
      <c r="S14" s="158"/>
    </row>
    <row r="15" spans="1:22" ht="18.75" x14ac:dyDescent="0.2">
      <c r="A15" s="161" t="s">
        <v>21</v>
      </c>
      <c r="B15" s="31" t="s">
        <v>16</v>
      </c>
      <c r="C15" s="50">
        <v>0</v>
      </c>
      <c r="D15" s="50">
        <v>50</v>
      </c>
      <c r="E15" s="50">
        <v>22</v>
      </c>
      <c r="F15" s="50">
        <v>0</v>
      </c>
      <c r="G15" s="50">
        <v>0</v>
      </c>
      <c r="H15" s="50">
        <v>0</v>
      </c>
      <c r="I15" s="50">
        <v>0</v>
      </c>
      <c r="J15" s="50">
        <v>79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1">
        <v>0</v>
      </c>
      <c r="Q15" s="52"/>
      <c r="R15" s="157"/>
      <c r="S15" s="158"/>
    </row>
    <row r="16" spans="1:22" ht="18.75" x14ac:dyDescent="0.2">
      <c r="A16" s="162"/>
      <c r="B16" s="31" t="s">
        <v>17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1">
        <v>0</v>
      </c>
      <c r="Q16" s="52"/>
      <c r="R16" s="157"/>
      <c r="S16" s="158"/>
    </row>
    <row r="17" spans="1:23" ht="18.75" x14ac:dyDescent="0.2">
      <c r="A17" s="143" t="s">
        <v>22</v>
      </c>
      <c r="B17" s="73" t="s">
        <v>17</v>
      </c>
      <c r="C17" s="50">
        <v>0</v>
      </c>
      <c r="D17" s="50">
        <v>55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380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1">
        <v>0</v>
      </c>
      <c r="Q17" s="52"/>
      <c r="R17" s="159"/>
      <c r="S17" s="160"/>
    </row>
    <row r="18" spans="1:23" ht="18.75" x14ac:dyDescent="0.2">
      <c r="A18" s="144"/>
      <c r="B18" s="73" t="s">
        <v>18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1">
        <v>0</v>
      </c>
      <c r="Q18" s="52"/>
      <c r="R18" s="157"/>
      <c r="S18" s="158"/>
    </row>
    <row r="19" spans="1:23" ht="18.75" x14ac:dyDescent="0.2">
      <c r="A19" s="75" t="s">
        <v>23</v>
      </c>
      <c r="B19" s="73" t="s">
        <v>24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85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1">
        <v>0</v>
      </c>
      <c r="Q19" s="52"/>
      <c r="R19" s="157"/>
      <c r="S19" s="158"/>
    </row>
    <row r="20" spans="1:23" ht="18.75" x14ac:dyDescent="0.2">
      <c r="A20" s="75" t="s">
        <v>25</v>
      </c>
      <c r="B20" s="73" t="s">
        <v>24</v>
      </c>
      <c r="C20" s="50">
        <v>0</v>
      </c>
      <c r="D20" s="50">
        <v>10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1">
        <v>0</v>
      </c>
      <c r="Q20" s="52"/>
      <c r="R20" s="157"/>
      <c r="S20" s="158"/>
    </row>
    <row r="21" spans="1:23" ht="18.75" x14ac:dyDescent="0.2">
      <c r="A21" s="75" t="s">
        <v>26</v>
      </c>
      <c r="B21" s="73" t="s">
        <v>24</v>
      </c>
      <c r="C21" s="50">
        <v>0</v>
      </c>
      <c r="D21" s="50">
        <v>12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1">
        <v>0</v>
      </c>
      <c r="Q21" s="52"/>
      <c r="R21" s="157"/>
      <c r="S21" s="158"/>
    </row>
    <row r="22" spans="1:23" ht="18.75" x14ac:dyDescent="0.2">
      <c r="A22" s="75" t="s">
        <v>27</v>
      </c>
      <c r="B22" s="73" t="s">
        <v>18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1">
        <v>0</v>
      </c>
      <c r="Q22" s="52"/>
      <c r="R22" s="157"/>
      <c r="S22" s="158"/>
      <c r="W22" s="11"/>
    </row>
    <row r="23" spans="1:23" ht="18.75" x14ac:dyDescent="0.2">
      <c r="A23" s="74" t="s">
        <v>28</v>
      </c>
      <c r="B23" s="31" t="s">
        <v>17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52"/>
      <c r="R23" s="157"/>
      <c r="S23" s="158"/>
    </row>
    <row r="24" spans="1:23" ht="18.75" x14ac:dyDescent="0.2">
      <c r="A24" s="72" t="s">
        <v>29</v>
      </c>
      <c r="B24" s="73" t="s">
        <v>17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2"/>
      <c r="R24" s="157"/>
      <c r="S24" s="158"/>
      <c r="W24" s="11"/>
    </row>
    <row r="25" spans="1:23" ht="18.75" x14ac:dyDescent="0.2">
      <c r="A25" s="145" t="s">
        <v>78</v>
      </c>
      <c r="B25" s="73" t="s">
        <v>18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>
        <v>130</v>
      </c>
      <c r="N25" s="50"/>
      <c r="O25" s="50"/>
      <c r="P25" s="51"/>
      <c r="Q25" s="52"/>
      <c r="R25" s="163"/>
      <c r="S25" s="158"/>
      <c r="W25" s="11"/>
    </row>
    <row r="26" spans="1:23" ht="18.75" x14ac:dyDescent="0.2">
      <c r="A26" s="146"/>
      <c r="B26" s="73" t="s">
        <v>19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>
        <v>130</v>
      </c>
      <c r="N26" s="50"/>
      <c r="O26" s="50"/>
      <c r="P26" s="50"/>
      <c r="Q26" s="50"/>
      <c r="R26" s="157"/>
      <c r="S26" s="158"/>
      <c r="W26" s="11"/>
    </row>
    <row r="27" spans="1:23" ht="18.75" x14ac:dyDescent="0.2">
      <c r="A27" s="145" t="s">
        <v>75</v>
      </c>
      <c r="B27" s="73" t="s">
        <v>18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42"/>
      <c r="S27" s="43"/>
      <c r="W27" s="11"/>
    </row>
    <row r="28" spans="1:23" ht="18.75" x14ac:dyDescent="0.2">
      <c r="A28" s="147"/>
      <c r="B28" s="73" t="s">
        <v>17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42"/>
      <c r="S28" s="43"/>
      <c r="W28" s="11"/>
    </row>
    <row r="29" spans="1:23" ht="18.75" x14ac:dyDescent="0.2">
      <c r="A29" s="146"/>
      <c r="B29" s="73" t="s">
        <v>16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42"/>
      <c r="S29" s="43"/>
      <c r="W29" s="11"/>
    </row>
    <row r="30" spans="1:23" ht="18.75" x14ac:dyDescent="0.2">
      <c r="A30" s="145" t="s">
        <v>104</v>
      </c>
      <c r="B30" s="73" t="s">
        <v>18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42"/>
      <c r="S30" s="43"/>
      <c r="W30" s="11"/>
    </row>
    <row r="31" spans="1:23" ht="18.75" x14ac:dyDescent="0.2">
      <c r="A31" s="147"/>
      <c r="B31" s="73" t="s">
        <v>17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42"/>
      <c r="S31" s="43"/>
      <c r="W31" s="11"/>
    </row>
    <row r="32" spans="1:23" ht="18.75" x14ac:dyDescent="0.2">
      <c r="A32" s="147"/>
      <c r="B32" s="73" t="s">
        <v>16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42"/>
      <c r="S32" s="43"/>
    </row>
    <row r="33" spans="1:19" ht="18.75" x14ac:dyDescent="0.2">
      <c r="A33" s="146"/>
      <c r="B33" s="73" t="s">
        <v>19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42"/>
      <c r="S33" s="43"/>
    </row>
    <row r="34" spans="1:19" ht="18.75" x14ac:dyDescent="0.2">
      <c r="A34" s="148" t="s">
        <v>105</v>
      </c>
      <c r="B34" s="73" t="s">
        <v>18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42"/>
      <c r="S34" s="43"/>
    </row>
    <row r="35" spans="1:19" ht="18.75" x14ac:dyDescent="0.2">
      <c r="A35" s="149"/>
      <c r="B35" s="73" t="s">
        <v>17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42"/>
      <c r="S35" s="43"/>
    </row>
    <row r="36" spans="1:19" ht="18.75" x14ac:dyDescent="0.2">
      <c r="A36" s="150"/>
      <c r="B36" s="73" t="s">
        <v>16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42"/>
      <c r="S36" s="43"/>
    </row>
    <row r="37" spans="1:19" ht="19.5" thickBot="1" x14ac:dyDescent="0.25">
      <c r="A37" s="164" t="s">
        <v>30</v>
      </c>
      <c r="B37" s="165"/>
      <c r="C37" s="40">
        <f>SUM(C9:C36)</f>
        <v>0</v>
      </c>
      <c r="D37" s="40">
        <f t="shared" ref="D37:Q37" si="0">SUM(D9:D36)</f>
        <v>167</v>
      </c>
      <c r="E37" s="40">
        <f t="shared" si="0"/>
        <v>22</v>
      </c>
      <c r="F37" s="40">
        <f t="shared" si="0"/>
        <v>0</v>
      </c>
      <c r="G37" s="40">
        <f t="shared" si="0"/>
        <v>0</v>
      </c>
      <c r="H37" s="40">
        <f t="shared" si="0"/>
        <v>0</v>
      </c>
      <c r="I37" s="40">
        <f t="shared" si="0"/>
        <v>0</v>
      </c>
      <c r="J37" s="40">
        <f t="shared" si="0"/>
        <v>544</v>
      </c>
      <c r="K37" s="40">
        <f t="shared" si="0"/>
        <v>0</v>
      </c>
      <c r="L37" s="40">
        <f t="shared" si="0"/>
        <v>0</v>
      </c>
      <c r="M37" s="40">
        <f t="shared" si="0"/>
        <v>1039</v>
      </c>
      <c r="N37" s="40">
        <f t="shared" si="0"/>
        <v>0</v>
      </c>
      <c r="O37" s="40">
        <f t="shared" si="0"/>
        <v>15</v>
      </c>
      <c r="P37" s="40">
        <f t="shared" si="0"/>
        <v>0</v>
      </c>
      <c r="Q37" s="40">
        <f t="shared" si="0"/>
        <v>0</v>
      </c>
      <c r="R37" s="138"/>
      <c r="S37" s="139"/>
    </row>
    <row r="38" spans="1:19" ht="16.5" thickBot="1" x14ac:dyDescent="0.25">
      <c r="A38" s="164"/>
      <c r="B38" s="165"/>
      <c r="C38" s="166">
        <f>SUM(C37:G37)</f>
        <v>189</v>
      </c>
      <c r="D38" s="167"/>
      <c r="E38" s="167"/>
      <c r="F38" s="167"/>
      <c r="G38" s="168"/>
      <c r="H38" s="169">
        <f>SUM(H37:K37)</f>
        <v>544</v>
      </c>
      <c r="I38" s="170"/>
      <c r="J38" s="170"/>
      <c r="K38" s="171"/>
      <c r="L38" s="169">
        <f>SUM(L37:P37)</f>
        <v>1054</v>
      </c>
      <c r="M38" s="170"/>
      <c r="N38" s="170"/>
      <c r="O38" s="170"/>
      <c r="P38" s="171"/>
      <c r="Q38" s="27"/>
      <c r="R38" s="138"/>
      <c r="S38" s="139"/>
    </row>
    <row r="39" spans="1:19" ht="23.25" x14ac:dyDescent="0.2">
      <c r="A39" s="172" t="s">
        <v>18</v>
      </c>
      <c r="B39" s="173"/>
      <c r="C39" s="37">
        <f>+C12*C8+C18*C8+C22*C8++C25*C8+C27*C8+C30*C34*C8</f>
        <v>0</v>
      </c>
      <c r="D39" s="37">
        <f t="shared" ref="D39:Q39" si="1">+D12*D8+D18*D8+D22*D8++D25*D8+D27*D8+D30*D34*D8</f>
        <v>0</v>
      </c>
      <c r="E39" s="37">
        <f t="shared" si="1"/>
        <v>0</v>
      </c>
      <c r="F39" s="37">
        <f t="shared" si="1"/>
        <v>0</v>
      </c>
      <c r="G39" s="37">
        <f t="shared" si="1"/>
        <v>0</v>
      </c>
      <c r="H39" s="37">
        <f>+H12*H8+H18*H8+H22*H8++H25*H8+H27*H8+H30*H34*H8</f>
        <v>0</v>
      </c>
      <c r="I39" s="37">
        <f t="shared" si="1"/>
        <v>0</v>
      </c>
      <c r="J39" s="37">
        <f t="shared" si="1"/>
        <v>0</v>
      </c>
      <c r="K39" s="37">
        <f t="shared" si="1"/>
        <v>0</v>
      </c>
      <c r="L39" s="37">
        <f t="shared" si="1"/>
        <v>0</v>
      </c>
      <c r="M39" s="37">
        <f t="shared" si="1"/>
        <v>8400</v>
      </c>
      <c r="N39" s="37">
        <f t="shared" si="1"/>
        <v>0</v>
      </c>
      <c r="O39" s="37">
        <f t="shared" si="1"/>
        <v>0</v>
      </c>
      <c r="P39" s="37">
        <f t="shared" si="1"/>
        <v>0</v>
      </c>
      <c r="Q39" s="37">
        <f t="shared" si="1"/>
        <v>0</v>
      </c>
      <c r="R39" s="41">
        <f>SUM(C39:Q39)</f>
        <v>8400</v>
      </c>
      <c r="S39" s="128">
        <f>SUM(R39:R44)</f>
        <v>101448</v>
      </c>
    </row>
    <row r="40" spans="1:19" ht="23.25" x14ac:dyDescent="0.2">
      <c r="A40" s="172" t="s">
        <v>17</v>
      </c>
      <c r="B40" s="173"/>
      <c r="C40" s="37">
        <f>+C11*C8+C16*C8+C17*C8+C19*C8+C20*C8+C21*C8+C23*C8+C24*C8+C28*C8+C31*C8+C35*C8</f>
        <v>0</v>
      </c>
      <c r="D40" s="37">
        <f t="shared" ref="D40:Q40" si="2">+D11*D8+D16*D8+D17*D8+D19*D8+D20*D8+D21*D8+D23*D8+D24*D8+D28*D8+D31*D8+D35*D8</f>
        <v>924</v>
      </c>
      <c r="E40" s="37">
        <f t="shared" si="2"/>
        <v>0</v>
      </c>
      <c r="F40" s="37">
        <f t="shared" si="2"/>
        <v>0</v>
      </c>
      <c r="G40" s="37">
        <f t="shared" si="2"/>
        <v>0</v>
      </c>
      <c r="H40" s="37">
        <f t="shared" si="2"/>
        <v>0</v>
      </c>
      <c r="I40" s="37">
        <f t="shared" si="2"/>
        <v>0</v>
      </c>
      <c r="J40" s="37">
        <f t="shared" si="2"/>
        <v>13950</v>
      </c>
      <c r="K40" s="37">
        <f t="shared" si="2"/>
        <v>0</v>
      </c>
      <c r="L40" s="37">
        <f t="shared" si="2"/>
        <v>0</v>
      </c>
      <c r="M40" s="37">
        <f t="shared" si="2"/>
        <v>12000</v>
      </c>
      <c r="N40" s="37">
        <f t="shared" si="2"/>
        <v>0</v>
      </c>
      <c r="O40" s="37">
        <f t="shared" si="2"/>
        <v>0</v>
      </c>
      <c r="P40" s="37">
        <f t="shared" si="2"/>
        <v>0</v>
      </c>
      <c r="Q40" s="37">
        <f t="shared" si="2"/>
        <v>0</v>
      </c>
      <c r="R40" s="41">
        <f t="shared" ref="R40:R43" si="3">SUM(C40:Q40)</f>
        <v>26874</v>
      </c>
      <c r="S40" s="129"/>
    </row>
    <row r="41" spans="1:19" ht="23.25" x14ac:dyDescent="0.2">
      <c r="A41" s="172" t="s">
        <v>16</v>
      </c>
      <c r="B41" s="173"/>
      <c r="C41" s="37">
        <f>+C10*C8+C15*C8+C29*C8+C32*C8+C36*C8</f>
        <v>0</v>
      </c>
      <c r="D41" s="37">
        <f t="shared" ref="D41:P41" si="4">+D10*D8+D15*D8+D29*D8+D32*D8+D36*D8</f>
        <v>1080</v>
      </c>
      <c r="E41" s="37">
        <f t="shared" si="4"/>
        <v>330</v>
      </c>
      <c r="F41" s="37">
        <f t="shared" si="4"/>
        <v>0</v>
      </c>
      <c r="G41" s="37">
        <f t="shared" si="4"/>
        <v>0</v>
      </c>
      <c r="H41" s="37">
        <f t="shared" si="4"/>
        <v>0</v>
      </c>
      <c r="I41" s="37">
        <f t="shared" si="4"/>
        <v>0</v>
      </c>
      <c r="J41" s="37">
        <f t="shared" si="4"/>
        <v>2370</v>
      </c>
      <c r="K41" s="37">
        <f t="shared" si="4"/>
        <v>0</v>
      </c>
      <c r="L41" s="37">
        <f t="shared" si="4"/>
        <v>0</v>
      </c>
      <c r="M41" s="37">
        <f t="shared" si="4"/>
        <v>0</v>
      </c>
      <c r="N41" s="37">
        <f t="shared" si="4"/>
        <v>0</v>
      </c>
      <c r="O41" s="37">
        <f t="shared" si="4"/>
        <v>0</v>
      </c>
      <c r="P41" s="37">
        <f t="shared" si="4"/>
        <v>0</v>
      </c>
      <c r="Q41" s="37">
        <f>+Q10*Q8+Q15*Q8+Q29*Q8+Q32*Q8+Q36*Q8</f>
        <v>0</v>
      </c>
      <c r="R41" s="41">
        <f t="shared" si="3"/>
        <v>3780</v>
      </c>
      <c r="S41" s="129"/>
    </row>
    <row r="42" spans="1:19" ht="23.25" x14ac:dyDescent="0.2">
      <c r="A42" s="172" t="s">
        <v>15</v>
      </c>
      <c r="B42" s="175"/>
      <c r="C42" s="37">
        <f>+C9*C8</f>
        <v>0</v>
      </c>
      <c r="D42" s="37">
        <f t="shared" ref="D42:Q42" si="5">+D9*D8</f>
        <v>0</v>
      </c>
      <c r="E42" s="37">
        <f t="shared" si="5"/>
        <v>0</v>
      </c>
      <c r="F42" s="37">
        <f t="shared" si="5"/>
        <v>0</v>
      </c>
      <c r="G42" s="37">
        <f t="shared" si="5"/>
        <v>0</v>
      </c>
      <c r="H42" s="37">
        <f t="shared" si="5"/>
        <v>0</v>
      </c>
      <c r="I42" s="37">
        <f t="shared" si="5"/>
        <v>0</v>
      </c>
      <c r="J42" s="37">
        <f t="shared" si="5"/>
        <v>0</v>
      </c>
      <c r="K42" s="37">
        <f t="shared" si="5"/>
        <v>0</v>
      </c>
      <c r="L42" s="37">
        <f t="shared" si="5"/>
        <v>0</v>
      </c>
      <c r="M42" s="37">
        <f t="shared" si="5"/>
        <v>0</v>
      </c>
      <c r="N42" s="37">
        <f t="shared" si="5"/>
        <v>0</v>
      </c>
      <c r="O42" s="37">
        <f t="shared" si="5"/>
        <v>0</v>
      </c>
      <c r="P42" s="37">
        <f t="shared" si="5"/>
        <v>0</v>
      </c>
      <c r="Q42" s="38">
        <f t="shared" si="5"/>
        <v>0</v>
      </c>
      <c r="R42" s="41">
        <f t="shared" si="3"/>
        <v>0</v>
      </c>
      <c r="S42" s="129"/>
    </row>
    <row r="43" spans="1:19" ht="23.25" x14ac:dyDescent="0.2">
      <c r="A43" s="172" t="s">
        <v>19</v>
      </c>
      <c r="B43" s="173"/>
      <c r="C43" s="37">
        <f>+C13*C8+C26*C8+C33*C8</f>
        <v>0</v>
      </c>
      <c r="D43" s="37">
        <f t="shared" ref="D43:Q43" si="6">+D13*D8+D26*D8+D33*D8</f>
        <v>0</v>
      </c>
      <c r="E43" s="37">
        <f t="shared" si="6"/>
        <v>0</v>
      </c>
      <c r="F43" s="37">
        <f t="shared" si="6"/>
        <v>0</v>
      </c>
      <c r="G43" s="37">
        <f t="shared" si="6"/>
        <v>0</v>
      </c>
      <c r="H43" s="37">
        <f t="shared" si="6"/>
        <v>0</v>
      </c>
      <c r="I43" s="37">
        <f t="shared" si="6"/>
        <v>0</v>
      </c>
      <c r="J43" s="37">
        <f t="shared" si="6"/>
        <v>0</v>
      </c>
      <c r="K43" s="37">
        <f t="shared" si="6"/>
        <v>0</v>
      </c>
      <c r="L43" s="37">
        <f t="shared" si="6"/>
        <v>0</v>
      </c>
      <c r="M43" s="37">
        <f t="shared" si="6"/>
        <v>10770</v>
      </c>
      <c r="N43" s="37">
        <f t="shared" si="6"/>
        <v>0</v>
      </c>
      <c r="O43" s="37">
        <f t="shared" si="6"/>
        <v>900</v>
      </c>
      <c r="P43" s="37">
        <f t="shared" si="6"/>
        <v>0</v>
      </c>
      <c r="Q43" s="37">
        <f t="shared" si="6"/>
        <v>0</v>
      </c>
      <c r="R43" s="41">
        <f t="shared" si="3"/>
        <v>11670</v>
      </c>
      <c r="S43" s="129"/>
    </row>
    <row r="44" spans="1:19" ht="21" customHeight="1" x14ac:dyDescent="0.2">
      <c r="A44" s="176" t="s">
        <v>31</v>
      </c>
      <c r="B44" s="177"/>
      <c r="C44" s="39">
        <f>SUM(C39:C43)</f>
        <v>0</v>
      </c>
      <c r="D44" s="39">
        <f t="shared" ref="D44:R44" si="7">SUM(D39:D43)</f>
        <v>2004</v>
      </c>
      <c r="E44" s="39">
        <f t="shared" si="7"/>
        <v>330</v>
      </c>
      <c r="F44" s="39">
        <f t="shared" si="7"/>
        <v>0</v>
      </c>
      <c r="G44" s="39">
        <f t="shared" si="7"/>
        <v>0</v>
      </c>
      <c r="H44" s="39">
        <f t="shared" si="7"/>
        <v>0</v>
      </c>
      <c r="I44" s="39">
        <f t="shared" si="7"/>
        <v>0</v>
      </c>
      <c r="J44" s="39">
        <f t="shared" si="7"/>
        <v>16320</v>
      </c>
      <c r="K44" s="39">
        <f t="shared" si="7"/>
        <v>0</v>
      </c>
      <c r="L44" s="39">
        <f t="shared" si="7"/>
        <v>0</v>
      </c>
      <c r="M44" s="39">
        <f t="shared" si="7"/>
        <v>31170</v>
      </c>
      <c r="N44" s="39">
        <f t="shared" si="7"/>
        <v>0</v>
      </c>
      <c r="O44" s="39">
        <f t="shared" si="7"/>
        <v>900</v>
      </c>
      <c r="P44" s="39">
        <f t="shared" si="7"/>
        <v>0</v>
      </c>
      <c r="Q44" s="39">
        <f t="shared" si="7"/>
        <v>0</v>
      </c>
      <c r="R44" s="39">
        <f t="shared" si="7"/>
        <v>50724</v>
      </c>
      <c r="S44" s="174"/>
    </row>
    <row r="45" spans="1:19" ht="24" customHeight="1" x14ac:dyDescent="0.2">
      <c r="A45" s="12"/>
      <c r="B45" s="182"/>
      <c r="C45" s="182"/>
      <c r="D45" s="182"/>
      <c r="E45" s="182"/>
      <c r="F45" s="182"/>
      <c r="G45" s="182"/>
      <c r="H45" s="182"/>
      <c r="I45" s="182"/>
      <c r="J45" s="13"/>
      <c r="K45" s="13"/>
      <c r="L45" s="13"/>
      <c r="M45" s="183"/>
      <c r="N45" s="183"/>
      <c r="O45" s="183"/>
      <c r="P45" s="183"/>
      <c r="Q45" s="183"/>
      <c r="R45" s="47"/>
      <c r="S45" s="28"/>
    </row>
    <row r="46" spans="1:19" ht="12.75" customHeight="1" thickBot="1" x14ac:dyDescent="0.25">
      <c r="A46" s="178"/>
      <c r="B46" s="179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80"/>
      <c r="N46" s="180"/>
      <c r="O46" s="180"/>
      <c r="P46" s="180"/>
      <c r="Q46" s="180"/>
      <c r="R46" s="49"/>
      <c r="S46" s="30"/>
    </row>
  </sheetData>
  <mergeCells count="56">
    <mergeCell ref="L38:P38"/>
    <mergeCell ref="A39:B39"/>
    <mergeCell ref="A46:B46"/>
    <mergeCell ref="M46:Q46"/>
    <mergeCell ref="B45:I45"/>
    <mergeCell ref="M45:Q45"/>
    <mergeCell ref="A40:B40"/>
    <mergeCell ref="A41:B41"/>
    <mergeCell ref="A42:B42"/>
    <mergeCell ref="A43:B43"/>
    <mergeCell ref="A44:B44"/>
    <mergeCell ref="A15:A16"/>
    <mergeCell ref="A17:A18"/>
    <mergeCell ref="A37:B38"/>
    <mergeCell ref="C38:G38"/>
    <mergeCell ref="H38:K38"/>
    <mergeCell ref="A25:A26"/>
    <mergeCell ref="A27:A29"/>
    <mergeCell ref="A30:A33"/>
    <mergeCell ref="A34:A36"/>
    <mergeCell ref="A9:A14"/>
    <mergeCell ref="R9:S9"/>
    <mergeCell ref="R10:S10"/>
    <mergeCell ref="R11:S11"/>
    <mergeCell ref="R12:S12"/>
    <mergeCell ref="R13:S13"/>
    <mergeCell ref="R37:S37"/>
    <mergeCell ref="R38:S38"/>
    <mergeCell ref="S39:S44"/>
    <mergeCell ref="R14:S14"/>
    <mergeCell ref="R15:S15"/>
    <mergeCell ref="R16:S16"/>
    <mergeCell ref="R17:S17"/>
    <mergeCell ref="R18:S18"/>
    <mergeCell ref="R22:S22"/>
    <mergeCell ref="R23:S23"/>
    <mergeCell ref="R24:S24"/>
    <mergeCell ref="R19:S19"/>
    <mergeCell ref="R20:S20"/>
    <mergeCell ref="R21:S21"/>
    <mergeCell ref="R26:S26"/>
    <mergeCell ref="R2:S2"/>
    <mergeCell ref="R3:S3"/>
    <mergeCell ref="R4:S4"/>
    <mergeCell ref="R5:S5"/>
    <mergeCell ref="R25:S25"/>
    <mergeCell ref="R7:S8"/>
    <mergeCell ref="A2:B5"/>
    <mergeCell ref="C2:Q5"/>
    <mergeCell ref="B6:N6"/>
    <mergeCell ref="P6:Q6"/>
    <mergeCell ref="A7:A8"/>
    <mergeCell ref="B7:B8"/>
    <mergeCell ref="C7:G7"/>
    <mergeCell ref="H7:K7"/>
    <mergeCell ref="L7:P7"/>
  </mergeCells>
  <conditionalFormatting sqref="C9:Q3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C3:O41"/>
  <sheetViews>
    <sheetView workbookViewId="0"/>
  </sheetViews>
  <sheetFormatPr baseColWidth="10" defaultRowHeight="15" x14ac:dyDescent="0.25"/>
  <cols>
    <col min="4" max="4" width="30.42578125" customWidth="1"/>
    <col min="5" max="5" width="10.42578125" customWidth="1"/>
    <col min="6" max="6" width="11.42578125" customWidth="1"/>
    <col min="7" max="7" width="9.85546875" customWidth="1"/>
    <col min="8" max="8" width="10.85546875" customWidth="1"/>
    <col min="9" max="9" width="10.7109375" customWidth="1"/>
    <col min="10" max="10" width="11.7109375" customWidth="1"/>
    <col min="11" max="12" width="12.85546875" customWidth="1"/>
    <col min="13" max="13" width="11.140625" customWidth="1"/>
    <col min="14" max="14" width="12.85546875" customWidth="1"/>
    <col min="15" max="15" width="10.7109375" customWidth="1"/>
  </cols>
  <sheetData>
    <row r="3" spans="3:15" ht="18.75" x14ac:dyDescent="0.3">
      <c r="J3" s="67" t="s">
        <v>3</v>
      </c>
    </row>
    <row r="4" spans="3:15" s="66" customFormat="1" ht="45" x14ac:dyDescent="0.25">
      <c r="C4" s="68" t="s">
        <v>35</v>
      </c>
      <c r="D4" s="68" t="s">
        <v>36</v>
      </c>
      <c r="E4" s="69" t="s">
        <v>87</v>
      </c>
      <c r="F4" s="70" t="s">
        <v>88</v>
      </c>
      <c r="G4" s="69" t="s">
        <v>89</v>
      </c>
      <c r="H4" s="70" t="s">
        <v>90</v>
      </c>
      <c r="I4" s="69" t="s">
        <v>91</v>
      </c>
      <c r="J4" s="70" t="s">
        <v>92</v>
      </c>
      <c r="K4" s="68" t="s">
        <v>72</v>
      </c>
      <c r="L4" s="68" t="s">
        <v>73</v>
      </c>
      <c r="M4" s="68" t="s">
        <v>74</v>
      </c>
      <c r="N4" s="68" t="s">
        <v>73</v>
      </c>
      <c r="O4" s="68" t="s">
        <v>74</v>
      </c>
    </row>
    <row r="5" spans="3:15" x14ac:dyDescent="0.25">
      <c r="C5" s="25">
        <v>30018</v>
      </c>
      <c r="D5" s="25" t="s">
        <v>93</v>
      </c>
      <c r="E5" s="62">
        <f>+RESUMEN!J17</f>
        <v>380</v>
      </c>
      <c r="F5" s="26">
        <f>+E5*30</f>
        <v>11400</v>
      </c>
      <c r="G5" s="62">
        <f>+H5/30</f>
        <v>0</v>
      </c>
      <c r="H5" s="25">
        <f>VLOOKUP(C$5:C$35,'INVENTARIO FISICO'!A$1:B$38,2,FALSE)</f>
        <v>0</v>
      </c>
      <c r="I5" s="62">
        <f>+E5-G5</f>
        <v>380</v>
      </c>
      <c r="J5" s="26">
        <f>+F5-H5</f>
        <v>11400</v>
      </c>
      <c r="K5" s="64">
        <f>IF(J5&lt;0,"0",J5*1)</f>
        <v>11400</v>
      </c>
      <c r="L5" s="25"/>
      <c r="M5" s="25"/>
      <c r="N5" s="25"/>
      <c r="O5" s="25"/>
    </row>
    <row r="6" spans="3:15" x14ac:dyDescent="0.25">
      <c r="C6" s="25">
        <v>30019</v>
      </c>
      <c r="D6" s="25" t="s">
        <v>38</v>
      </c>
      <c r="E6" s="62">
        <f>+RESUMEN!D17</f>
        <v>55</v>
      </c>
      <c r="F6" s="26">
        <f>+E6*12</f>
        <v>660</v>
      </c>
      <c r="G6" s="62">
        <f>+H6/12</f>
        <v>0</v>
      </c>
      <c r="H6" s="25">
        <f>VLOOKUP(C$5:C$35,'INVENTARIO FISICO'!A$1:B$38,2,FALSE)</f>
        <v>0</v>
      </c>
      <c r="I6" s="62">
        <f t="shared" ref="I6:I35" si="0">+E6-G6</f>
        <v>55</v>
      </c>
      <c r="J6" s="26">
        <f t="shared" ref="J6:J35" si="1">+F6-H6</f>
        <v>660</v>
      </c>
      <c r="K6" s="64">
        <f t="shared" ref="K6:K35" si="2">IF(J6&lt;0,"0",J6*1)</f>
        <v>660</v>
      </c>
      <c r="L6" s="25"/>
      <c r="M6" s="25"/>
      <c r="N6" s="25"/>
      <c r="O6" s="25"/>
    </row>
    <row r="7" spans="3:15" x14ac:dyDescent="0.25">
      <c r="C7" s="25">
        <v>30024</v>
      </c>
      <c r="D7" s="25" t="s">
        <v>39</v>
      </c>
      <c r="E7" s="62" t="str">
        <f>+RESUMEN!J22</f>
        <v/>
      </c>
      <c r="F7" s="26" t="e">
        <f>+E7*30</f>
        <v>#VALUE!</v>
      </c>
      <c r="G7" s="62">
        <f>+H7/30</f>
        <v>0</v>
      </c>
      <c r="H7" s="25">
        <f>VLOOKUP(C$5:C$35,'INVENTARIO FISICO'!A$1:B$38,2,FALSE)</f>
        <v>0</v>
      </c>
      <c r="I7" s="62" t="e">
        <f t="shared" si="0"/>
        <v>#VALUE!</v>
      </c>
      <c r="J7" s="26" t="e">
        <f t="shared" si="1"/>
        <v>#VALUE!</v>
      </c>
      <c r="K7" s="64" t="e">
        <f t="shared" si="2"/>
        <v>#VALUE!</v>
      </c>
      <c r="L7" s="25"/>
      <c r="M7" s="25"/>
      <c r="N7" s="25"/>
      <c r="O7" s="25"/>
    </row>
    <row r="8" spans="3:15" x14ac:dyDescent="0.25">
      <c r="C8" s="25">
        <v>30031</v>
      </c>
      <c r="D8" s="25" t="s">
        <v>96</v>
      </c>
      <c r="E8" s="62" t="str">
        <f>+RESUMEN!J12</f>
        <v/>
      </c>
      <c r="F8" s="26" t="e">
        <f>+E8*30</f>
        <v>#VALUE!</v>
      </c>
      <c r="G8" s="62">
        <f>+H8/30</f>
        <v>0</v>
      </c>
      <c r="H8" s="25">
        <f>VLOOKUP(C$5:C$35,'INVENTARIO FISICO'!A$1:B$38,2,FALSE)</f>
        <v>0</v>
      </c>
      <c r="I8" s="62" t="e">
        <f t="shared" si="0"/>
        <v>#VALUE!</v>
      </c>
      <c r="J8" s="26" t="e">
        <f t="shared" si="1"/>
        <v>#VALUE!</v>
      </c>
      <c r="K8" s="64" t="e">
        <f t="shared" si="2"/>
        <v>#VALUE!</v>
      </c>
      <c r="L8" s="25"/>
      <c r="M8" s="25"/>
      <c r="N8" s="25"/>
      <c r="O8" s="25"/>
    </row>
    <row r="9" spans="3:15" x14ac:dyDescent="0.25">
      <c r="C9" s="25">
        <v>30032</v>
      </c>
      <c r="D9" s="25" t="s">
        <v>94</v>
      </c>
      <c r="E9" s="62">
        <f>+RESUMEN!D21</f>
        <v>23</v>
      </c>
      <c r="F9" s="26">
        <f>+E9*12</f>
        <v>276</v>
      </c>
      <c r="G9" s="62">
        <f>+H9/12</f>
        <v>0</v>
      </c>
      <c r="H9" s="25">
        <f>VLOOKUP(C$5:C$35,'INVENTARIO FISICO'!A$1:B$38,2,FALSE)</f>
        <v>0</v>
      </c>
      <c r="I9" s="62">
        <f t="shared" si="0"/>
        <v>23</v>
      </c>
      <c r="J9" s="26">
        <f t="shared" si="1"/>
        <v>276</v>
      </c>
      <c r="K9" s="64">
        <f t="shared" si="2"/>
        <v>276</v>
      </c>
      <c r="L9" s="25"/>
      <c r="M9" s="25"/>
      <c r="N9" s="25"/>
      <c r="O9" s="25"/>
    </row>
    <row r="10" spans="3:15" hidden="1" x14ac:dyDescent="0.25">
      <c r="C10" s="25">
        <v>30037</v>
      </c>
      <c r="D10" s="25" t="s">
        <v>42</v>
      </c>
      <c r="E10" s="62" t="str">
        <f>+RESUMEN!D12</f>
        <v/>
      </c>
      <c r="F10" s="26" t="e">
        <f>+E10*12</f>
        <v>#VALUE!</v>
      </c>
      <c r="G10" s="62">
        <f>+H10/12</f>
        <v>0</v>
      </c>
      <c r="H10" s="25">
        <f>VLOOKUP(C$5:C$35,'INVENTARIO FISICO'!A$1:B$38,2,FALSE)</f>
        <v>0</v>
      </c>
      <c r="I10" s="62" t="e">
        <f t="shared" si="0"/>
        <v>#VALUE!</v>
      </c>
      <c r="J10" s="26" t="e">
        <f t="shared" si="1"/>
        <v>#VALUE!</v>
      </c>
      <c r="K10" s="64" t="e">
        <f t="shared" si="2"/>
        <v>#VALUE!</v>
      </c>
      <c r="L10" s="25"/>
      <c r="M10" s="25"/>
      <c r="N10" s="25"/>
      <c r="O10" s="25"/>
    </row>
    <row r="11" spans="3:15" x14ac:dyDescent="0.25">
      <c r="C11" s="25">
        <v>30040</v>
      </c>
      <c r="D11" s="25" t="s">
        <v>43</v>
      </c>
      <c r="E11" s="62">
        <f>+'cuadro 1'!M12+'cuadro 1'!M27+'cuadro 2'!M12+'cuadro 2'!M27+'cuadro 3'!M12+'cuadro 3'!M27</f>
        <v>8214</v>
      </c>
      <c r="F11" s="26">
        <f>+E11*30</f>
        <v>246420</v>
      </c>
      <c r="G11" s="62">
        <f>+H11/30</f>
        <v>0</v>
      </c>
      <c r="H11" s="25">
        <f>VLOOKUP(C$5:C$35,'INVENTARIO FISICO'!A$1:B$38,2,FALSE)</f>
        <v>0</v>
      </c>
      <c r="I11" s="62">
        <f t="shared" si="0"/>
        <v>8214</v>
      </c>
      <c r="J11" s="26">
        <f t="shared" si="1"/>
        <v>246420</v>
      </c>
      <c r="K11" s="64">
        <f t="shared" si="2"/>
        <v>246420</v>
      </c>
      <c r="L11" s="25"/>
      <c r="M11" s="25"/>
      <c r="N11" s="25"/>
      <c r="O11" s="25"/>
    </row>
    <row r="12" spans="3:15" x14ac:dyDescent="0.25">
      <c r="C12" s="25">
        <v>30041</v>
      </c>
      <c r="D12" s="25" t="s">
        <v>44</v>
      </c>
      <c r="E12" s="62" t="str">
        <f>+RESUMEN!C12</f>
        <v/>
      </c>
      <c r="F12" s="26" t="e">
        <f>+E12*6</f>
        <v>#VALUE!</v>
      </c>
      <c r="G12" s="62">
        <f>+H12/6</f>
        <v>0</v>
      </c>
      <c r="H12" s="25">
        <f>VLOOKUP(C$5:C$35,'INVENTARIO FISICO'!A$1:B$38,2,FALSE)</f>
        <v>0</v>
      </c>
      <c r="I12" s="62" t="e">
        <f t="shared" si="0"/>
        <v>#VALUE!</v>
      </c>
      <c r="J12" s="26" t="e">
        <f t="shared" si="1"/>
        <v>#VALUE!</v>
      </c>
      <c r="K12" s="64" t="e">
        <f t="shared" si="2"/>
        <v>#VALUE!</v>
      </c>
      <c r="L12" s="25"/>
      <c r="M12" s="25"/>
      <c r="N12" s="25"/>
      <c r="O12" s="25"/>
    </row>
    <row r="13" spans="3:15" x14ac:dyDescent="0.25">
      <c r="C13" s="25">
        <v>30043</v>
      </c>
      <c r="D13" s="25" t="s">
        <v>45</v>
      </c>
      <c r="E13" s="62" t="str">
        <f>+RESUMEN!D11</f>
        <v/>
      </c>
      <c r="F13" s="26" t="e">
        <f>+E13*12</f>
        <v>#VALUE!</v>
      </c>
      <c r="G13" s="62">
        <f>+H13/12</f>
        <v>0</v>
      </c>
      <c r="H13" s="25">
        <f>VLOOKUP(C$5:C$35,'INVENTARIO FISICO'!A$1:B$38,2,FALSE)</f>
        <v>0</v>
      </c>
      <c r="I13" s="62" t="e">
        <f t="shared" si="0"/>
        <v>#VALUE!</v>
      </c>
      <c r="J13" s="26" t="e">
        <f t="shared" si="1"/>
        <v>#VALUE!</v>
      </c>
      <c r="K13" s="64" t="e">
        <f t="shared" si="2"/>
        <v>#VALUE!</v>
      </c>
      <c r="L13" s="25"/>
      <c r="M13" s="25"/>
      <c r="N13" s="25"/>
      <c r="O13" s="25"/>
    </row>
    <row r="14" spans="3:15" x14ac:dyDescent="0.25">
      <c r="C14" s="25">
        <v>30045</v>
      </c>
      <c r="D14" s="25" t="s">
        <v>97</v>
      </c>
      <c r="E14" s="62" t="str">
        <f>+RESUMEN!H24</f>
        <v/>
      </c>
      <c r="F14" s="26" t="e">
        <f>+E14*15</f>
        <v>#VALUE!</v>
      </c>
      <c r="G14" s="62">
        <f>+H14/15</f>
        <v>0</v>
      </c>
      <c r="H14" s="25">
        <f>VLOOKUP(C$5:C$35,'INVENTARIO FISICO'!A$1:B$38,2,FALSE)</f>
        <v>0</v>
      </c>
      <c r="I14" s="62" t="e">
        <f t="shared" si="0"/>
        <v>#VALUE!</v>
      </c>
      <c r="J14" s="26" t="e">
        <f t="shared" si="1"/>
        <v>#VALUE!</v>
      </c>
      <c r="K14" s="64" t="e">
        <f t="shared" si="2"/>
        <v>#VALUE!</v>
      </c>
      <c r="L14" s="25"/>
      <c r="M14" s="25"/>
      <c r="N14" s="25"/>
      <c r="O14" s="25"/>
    </row>
    <row r="15" spans="3:15" x14ac:dyDescent="0.25">
      <c r="C15" s="25">
        <v>30046</v>
      </c>
      <c r="D15" s="25" t="s">
        <v>47</v>
      </c>
      <c r="E15" s="62">
        <f>+'cuadro 1'!M11+'cuadro 1'!M28+'cuadro 2'!M11+'cuadro 2'!M28+'cuadro 3'!M11+'cuadro 3'!M28</f>
        <v>400</v>
      </c>
      <c r="F15" s="26">
        <f>+E15*30</f>
        <v>12000</v>
      </c>
      <c r="G15" s="62">
        <f>+H1530</f>
        <v>0</v>
      </c>
      <c r="H15" s="25">
        <f>VLOOKUP(C$5:C$35,'INVENTARIO FISICO'!A$1:B$38,2,FALSE)</f>
        <v>0</v>
      </c>
      <c r="I15" s="62">
        <f t="shared" si="0"/>
        <v>400</v>
      </c>
      <c r="J15" s="26">
        <f t="shared" si="1"/>
        <v>12000</v>
      </c>
      <c r="K15" s="64">
        <f t="shared" si="2"/>
        <v>12000</v>
      </c>
      <c r="L15" s="25"/>
      <c r="M15" s="25"/>
      <c r="N15" s="25"/>
      <c r="O15" s="25"/>
    </row>
    <row r="16" spans="3:15" x14ac:dyDescent="0.25">
      <c r="C16" s="25">
        <v>30047</v>
      </c>
      <c r="D16" s="25" t="s">
        <v>98</v>
      </c>
      <c r="E16" s="62">
        <f>+'cuadro 1'!J11+'cuadro 1'!J24+'cuadro 2'!J11+'cuadro 2'!J24+'cuadro 3'!J11+'cuadro 3'!J24</f>
        <v>0</v>
      </c>
      <c r="F16" s="26">
        <f>+E16*30</f>
        <v>0</v>
      </c>
      <c r="G16" s="62">
        <f>+H16/30</f>
        <v>0</v>
      </c>
      <c r="H16" s="25">
        <f>VLOOKUP(C$5:C$35,'INVENTARIO FISICO'!A$1:B$38,2,FALSE)</f>
        <v>0</v>
      </c>
      <c r="I16" s="62">
        <f t="shared" si="0"/>
        <v>0</v>
      </c>
      <c r="J16" s="26">
        <f t="shared" si="1"/>
        <v>0</v>
      </c>
      <c r="K16" s="65">
        <f t="shared" si="2"/>
        <v>0</v>
      </c>
      <c r="L16" s="25"/>
      <c r="M16" s="25"/>
      <c r="N16" s="25"/>
      <c r="O16" s="25"/>
    </row>
    <row r="17" spans="3:15" x14ac:dyDescent="0.25">
      <c r="C17" s="25">
        <v>30048</v>
      </c>
      <c r="D17" s="25" t="s">
        <v>49</v>
      </c>
      <c r="E17" s="62">
        <f>+RESUMEN!C11</f>
        <v>23</v>
      </c>
      <c r="F17" s="26">
        <f>+E17*6</f>
        <v>138</v>
      </c>
      <c r="G17" s="62">
        <f>+H17/6</f>
        <v>0</v>
      </c>
      <c r="H17" s="25">
        <f>VLOOKUP(C$5:C$35,'INVENTARIO FISICO'!A$1:B$38,2,FALSE)</f>
        <v>0</v>
      </c>
      <c r="I17" s="62">
        <f t="shared" si="0"/>
        <v>23</v>
      </c>
      <c r="J17" s="26">
        <f t="shared" si="1"/>
        <v>138</v>
      </c>
      <c r="K17" s="64">
        <f t="shared" si="2"/>
        <v>138</v>
      </c>
      <c r="L17" s="25"/>
      <c r="M17" s="25"/>
      <c r="N17" s="25"/>
      <c r="O17" s="25"/>
    </row>
    <row r="18" spans="3:15" x14ac:dyDescent="0.25">
      <c r="C18" s="25">
        <v>30049</v>
      </c>
      <c r="D18" s="25" t="s">
        <v>50</v>
      </c>
      <c r="E18" s="62">
        <f>+RESUMEN!D10</f>
        <v>40</v>
      </c>
      <c r="F18" s="26">
        <f>+E18*12</f>
        <v>480</v>
      </c>
      <c r="G18" s="62">
        <f>+H18/12</f>
        <v>0</v>
      </c>
      <c r="H18" s="25">
        <f>VLOOKUP(C$5:C$35,'INVENTARIO FISICO'!A$1:B$38,2,FALSE)</f>
        <v>0</v>
      </c>
      <c r="I18" s="62">
        <f t="shared" si="0"/>
        <v>40</v>
      </c>
      <c r="J18" s="26">
        <f t="shared" si="1"/>
        <v>480</v>
      </c>
      <c r="K18" s="64">
        <f t="shared" si="2"/>
        <v>480</v>
      </c>
      <c r="L18" s="25"/>
      <c r="M18" s="25"/>
      <c r="N18" s="25"/>
      <c r="O18" s="25"/>
    </row>
    <row r="19" spans="3:15" x14ac:dyDescent="0.25">
      <c r="C19" s="25">
        <v>30052</v>
      </c>
      <c r="D19" s="25" t="s">
        <v>51</v>
      </c>
      <c r="E19" s="62">
        <f>+'cuadro 1'!M10+'cuadro 1'!M29+'cuadro 2'!M10+'cuadro 2'!M29+'cuadro 3'!M10+'cuadro 3'!M29</f>
        <v>0</v>
      </c>
      <c r="F19" s="26">
        <f>+E19*30</f>
        <v>0</v>
      </c>
      <c r="G19" s="62">
        <f>+H19/30</f>
        <v>0</v>
      </c>
      <c r="H19" s="25">
        <f>VLOOKUP(C$5:C$35,'INVENTARIO FISICO'!A$1:B$38,2,FALSE)</f>
        <v>0</v>
      </c>
      <c r="I19" s="62">
        <f t="shared" si="0"/>
        <v>0</v>
      </c>
      <c r="J19" s="26">
        <f t="shared" si="1"/>
        <v>0</v>
      </c>
      <c r="K19" s="64">
        <f t="shared" si="2"/>
        <v>0</v>
      </c>
      <c r="L19" s="25"/>
      <c r="M19" s="25"/>
      <c r="N19" s="25"/>
      <c r="O19" s="25"/>
    </row>
    <row r="20" spans="3:15" x14ac:dyDescent="0.25">
      <c r="C20" s="25">
        <v>30056</v>
      </c>
      <c r="D20" s="25" t="s">
        <v>52</v>
      </c>
      <c r="E20" s="62">
        <f>+RESUMEN!M13</f>
        <v>257</v>
      </c>
      <c r="F20" s="26">
        <f>+E20*30</f>
        <v>7710</v>
      </c>
      <c r="G20" s="62">
        <f>+H20/30</f>
        <v>0</v>
      </c>
      <c r="H20" s="25">
        <f>VLOOKUP(C$5:C$35,'INVENTARIO FISICO'!A$1:B$38,2,FALSE)</f>
        <v>0</v>
      </c>
      <c r="I20" s="62">
        <f t="shared" si="0"/>
        <v>257</v>
      </c>
      <c r="J20" s="26">
        <f t="shared" si="1"/>
        <v>7710</v>
      </c>
      <c r="K20" s="64">
        <f t="shared" si="2"/>
        <v>7710</v>
      </c>
      <c r="L20" s="25"/>
      <c r="M20" s="25"/>
      <c r="N20" s="25"/>
      <c r="O20" s="25"/>
    </row>
    <row r="21" spans="3:15" x14ac:dyDescent="0.25">
      <c r="C21" s="25">
        <v>40105</v>
      </c>
      <c r="D21" s="25" t="s">
        <v>99</v>
      </c>
      <c r="E21" s="62" t="str">
        <f>+RESUMEN!H17</f>
        <v/>
      </c>
      <c r="F21" s="26" t="e">
        <f>+E21*15</f>
        <v>#VALUE!</v>
      </c>
      <c r="G21" s="62">
        <f>+H21/15</f>
        <v>0</v>
      </c>
      <c r="H21" s="25">
        <f>VLOOKUP(C$5:C$35,'INVENTARIO FISICO'!A$1:B$38,2,FALSE)</f>
        <v>0</v>
      </c>
      <c r="I21" s="62" t="e">
        <f t="shared" si="0"/>
        <v>#VALUE!</v>
      </c>
      <c r="J21" s="26" t="e">
        <f t="shared" si="1"/>
        <v>#VALUE!</v>
      </c>
      <c r="K21" s="64" t="e">
        <f t="shared" si="2"/>
        <v>#VALUE!</v>
      </c>
      <c r="L21" s="25"/>
      <c r="M21" s="25"/>
      <c r="N21" s="25"/>
      <c r="O21" s="25"/>
    </row>
    <row r="22" spans="3:15" x14ac:dyDescent="0.25">
      <c r="C22" s="25">
        <v>40135</v>
      </c>
      <c r="D22" s="25" t="s">
        <v>54</v>
      </c>
      <c r="E22" s="62" t="str">
        <f>+RESUMEN!D19</f>
        <v/>
      </c>
      <c r="F22" s="26" t="e">
        <f>+E22*12</f>
        <v>#VALUE!</v>
      </c>
      <c r="G22" s="62">
        <f>+H22/12</f>
        <v>0</v>
      </c>
      <c r="H22" s="25">
        <f>VLOOKUP(C$5:C$35,'INVENTARIO FISICO'!A$1:B$38,2,FALSE)</f>
        <v>0</v>
      </c>
      <c r="I22" s="62" t="e">
        <f t="shared" si="0"/>
        <v>#VALUE!</v>
      </c>
      <c r="J22" s="26" t="e">
        <f t="shared" si="1"/>
        <v>#VALUE!</v>
      </c>
      <c r="K22" s="64" t="e">
        <f t="shared" si="2"/>
        <v>#VALUE!</v>
      </c>
      <c r="L22" s="25"/>
      <c r="M22" s="25"/>
      <c r="N22" s="25"/>
      <c r="O22" s="25"/>
    </row>
    <row r="23" spans="3:15" x14ac:dyDescent="0.25">
      <c r="C23" s="25">
        <v>40205</v>
      </c>
      <c r="D23" s="25" t="s">
        <v>55</v>
      </c>
      <c r="E23" s="62">
        <f>+RESUMEN!I9</f>
        <v>32</v>
      </c>
      <c r="F23" s="26">
        <f>+E23*20</f>
        <v>640</v>
      </c>
      <c r="G23" s="62">
        <f>+H23/20</f>
        <v>0</v>
      </c>
      <c r="H23" s="25">
        <f>VLOOKUP(C$5:C$35,'INVENTARIO FISICO'!A$1:B$38,2,FALSE)</f>
        <v>0</v>
      </c>
      <c r="I23" s="62">
        <f t="shared" si="0"/>
        <v>32</v>
      </c>
      <c r="J23" s="26">
        <f t="shared" si="1"/>
        <v>640</v>
      </c>
      <c r="K23" s="64">
        <f t="shared" si="2"/>
        <v>640</v>
      </c>
      <c r="L23" s="25"/>
      <c r="M23" s="25"/>
      <c r="N23" s="25"/>
      <c r="O23" s="25"/>
    </row>
    <row r="24" spans="3:15" x14ac:dyDescent="0.25">
      <c r="C24" s="25">
        <v>40254</v>
      </c>
      <c r="D24" s="25" t="s">
        <v>56</v>
      </c>
      <c r="E24" s="62">
        <f>+RESUMEN!D20</f>
        <v>13</v>
      </c>
      <c r="F24" s="26">
        <f>+E24*12</f>
        <v>156</v>
      </c>
      <c r="G24" s="62">
        <f>+H24/12</f>
        <v>0</v>
      </c>
      <c r="H24" s="25">
        <f>VLOOKUP(C$5:C$35,'INVENTARIO FISICO'!A$1:B$38,2,FALSE)</f>
        <v>0</v>
      </c>
      <c r="I24" s="62">
        <f t="shared" si="0"/>
        <v>13</v>
      </c>
      <c r="J24" s="26">
        <f t="shared" si="1"/>
        <v>156</v>
      </c>
      <c r="K24" s="64">
        <f t="shared" si="2"/>
        <v>156</v>
      </c>
      <c r="L24" s="25"/>
      <c r="M24" s="25"/>
      <c r="N24" s="25"/>
      <c r="O24" s="25"/>
    </row>
    <row r="25" spans="3:15" x14ac:dyDescent="0.25">
      <c r="C25" s="25">
        <v>40265</v>
      </c>
      <c r="D25" s="25" t="s">
        <v>57</v>
      </c>
      <c r="E25" s="62">
        <f>+RESUMEN!J15</f>
        <v>131</v>
      </c>
      <c r="F25" s="25">
        <f>+E25*30</f>
        <v>3930</v>
      </c>
      <c r="G25" s="63">
        <f>+H25/30</f>
        <v>0</v>
      </c>
      <c r="H25" s="25">
        <f>VLOOKUP(C$5:C$35,'INVENTARIO FISICO'!A$1:B$38,2,FALSE)</f>
        <v>0</v>
      </c>
      <c r="I25" s="62">
        <f t="shared" si="0"/>
        <v>131</v>
      </c>
      <c r="J25" s="26">
        <f t="shared" si="1"/>
        <v>3930</v>
      </c>
      <c r="K25" s="64">
        <f t="shared" si="2"/>
        <v>3930</v>
      </c>
      <c r="L25" s="25"/>
      <c r="M25" s="25"/>
      <c r="N25" s="25"/>
      <c r="O25" s="25"/>
    </row>
    <row r="26" spans="3:15" x14ac:dyDescent="0.25">
      <c r="C26" s="25">
        <v>40434</v>
      </c>
      <c r="D26" s="25" t="s">
        <v>106</v>
      </c>
      <c r="E26" s="62">
        <f>+RESUMEN!O13</f>
        <v>26</v>
      </c>
      <c r="F26" s="25">
        <f>+E26*60</f>
        <v>1560</v>
      </c>
      <c r="G26" s="63">
        <f>+H26/30</f>
        <v>0</v>
      </c>
      <c r="H26" s="25">
        <f>VLOOKUP(C$5:C$35,'INVENTARIO FISICO'!A$1:B$38,2,FALSE)</f>
        <v>0</v>
      </c>
      <c r="I26" s="62">
        <f t="shared" si="0"/>
        <v>26</v>
      </c>
      <c r="J26" s="26">
        <f t="shared" si="1"/>
        <v>1560</v>
      </c>
      <c r="K26" s="64">
        <f t="shared" si="2"/>
        <v>1560</v>
      </c>
      <c r="L26" s="25"/>
      <c r="M26" s="25"/>
      <c r="N26" s="25"/>
      <c r="O26" s="25"/>
    </row>
    <row r="27" spans="3:15" x14ac:dyDescent="0.25">
      <c r="C27" s="25">
        <v>40475</v>
      </c>
      <c r="D27" s="25" t="s">
        <v>100</v>
      </c>
      <c r="E27" s="62">
        <f>+RESUMEN!D15</f>
        <v>108</v>
      </c>
      <c r="F27" s="26">
        <f>+E27*12</f>
        <v>1296</v>
      </c>
      <c r="G27" s="62">
        <f>+H27/12</f>
        <v>0</v>
      </c>
      <c r="H27" s="25">
        <f>VLOOKUP(C$5:C$35,'INVENTARIO FISICO'!A$1:B$38,2,FALSE)</f>
        <v>0</v>
      </c>
      <c r="I27" s="62">
        <f t="shared" si="0"/>
        <v>108</v>
      </c>
      <c r="J27" s="26">
        <f t="shared" si="1"/>
        <v>1296</v>
      </c>
      <c r="K27" s="64">
        <f t="shared" si="2"/>
        <v>1296</v>
      </c>
      <c r="L27" s="25"/>
      <c r="M27" s="25"/>
      <c r="N27" s="25"/>
      <c r="O27" s="25"/>
    </row>
    <row r="28" spans="3:15" x14ac:dyDescent="0.25">
      <c r="C28" s="25">
        <v>40477</v>
      </c>
      <c r="D28" s="25" t="s">
        <v>60</v>
      </c>
      <c r="E28" s="62">
        <f>+RESUMEN!E15</f>
        <v>48</v>
      </c>
      <c r="F28" s="26">
        <f>+E28*15</f>
        <v>720</v>
      </c>
      <c r="G28" s="62">
        <f>+H28/15</f>
        <v>0</v>
      </c>
      <c r="H28" s="25">
        <f>VLOOKUP(C$5:C$35,'INVENTARIO FISICO'!A$1:B$38,2,FALSE)</f>
        <v>0</v>
      </c>
      <c r="I28" s="62">
        <f t="shared" si="0"/>
        <v>48</v>
      </c>
      <c r="J28" s="26">
        <f t="shared" si="1"/>
        <v>720</v>
      </c>
      <c r="K28" s="64">
        <f t="shared" si="2"/>
        <v>720</v>
      </c>
      <c r="L28" s="25"/>
      <c r="M28" s="25"/>
      <c r="N28" s="25"/>
      <c r="O28" s="25"/>
    </row>
    <row r="29" spans="3:15" x14ac:dyDescent="0.25">
      <c r="C29" s="25">
        <v>40515</v>
      </c>
      <c r="D29" s="25" t="s">
        <v>61</v>
      </c>
      <c r="E29" s="62" t="str">
        <f>+RESUMEN!E23</f>
        <v/>
      </c>
      <c r="F29" s="26" t="e">
        <f>+E29*15</f>
        <v>#VALUE!</v>
      </c>
      <c r="G29" s="62">
        <f>+H29/15</f>
        <v>0</v>
      </c>
      <c r="H29" s="25">
        <f>VLOOKUP(C$5:C$35,'INVENTARIO FISICO'!A$1:B$38,2,FALSE)</f>
        <v>0</v>
      </c>
      <c r="I29" s="62" t="e">
        <f t="shared" si="0"/>
        <v>#VALUE!</v>
      </c>
      <c r="J29" s="26" t="e">
        <f t="shared" si="1"/>
        <v>#VALUE!</v>
      </c>
      <c r="K29" s="64" t="e">
        <f t="shared" si="2"/>
        <v>#VALUE!</v>
      </c>
      <c r="L29" s="25"/>
      <c r="M29" s="25"/>
      <c r="N29" s="25"/>
      <c r="O29" s="25"/>
    </row>
    <row r="30" spans="3:15" x14ac:dyDescent="0.25">
      <c r="C30" s="25">
        <v>40526</v>
      </c>
      <c r="D30" s="25" t="s">
        <v>63</v>
      </c>
      <c r="E30" s="62">
        <f>+RESUMEN!J19</f>
        <v>111</v>
      </c>
      <c r="F30" s="26">
        <f>+E30*30</f>
        <v>3330</v>
      </c>
      <c r="G30" s="62">
        <f>+H30/30</f>
        <v>0</v>
      </c>
      <c r="H30" s="25">
        <f>VLOOKUP(C$5:C$35,'INVENTARIO FISICO'!A$1:B$38,2,FALSE)</f>
        <v>0</v>
      </c>
      <c r="I30" s="62">
        <f t="shared" si="0"/>
        <v>111</v>
      </c>
      <c r="J30" s="26">
        <f t="shared" si="1"/>
        <v>3330</v>
      </c>
      <c r="K30" s="64">
        <f t="shared" si="2"/>
        <v>3330</v>
      </c>
      <c r="L30" s="25"/>
      <c r="M30" s="25"/>
      <c r="N30" s="25"/>
      <c r="O30" s="25"/>
    </row>
    <row r="31" spans="3:15" x14ac:dyDescent="0.25">
      <c r="C31" s="25">
        <v>40537</v>
      </c>
      <c r="D31" s="25" t="s">
        <v>64</v>
      </c>
      <c r="E31" s="62">
        <f>+RESUMEN!J16</f>
        <v>30</v>
      </c>
      <c r="F31" s="26">
        <f>+E31*30</f>
        <v>900</v>
      </c>
      <c r="G31" s="62">
        <f>+H31/30</f>
        <v>0</v>
      </c>
      <c r="H31" s="25">
        <f>VLOOKUP(C$5:C$35,'INVENTARIO FISICO'!A$1:B$38,2,FALSE)</f>
        <v>0</v>
      </c>
      <c r="I31" s="62">
        <f t="shared" si="0"/>
        <v>30</v>
      </c>
      <c r="J31" s="26">
        <f t="shared" si="1"/>
        <v>900</v>
      </c>
      <c r="K31" s="64">
        <f t="shared" si="2"/>
        <v>900</v>
      </c>
      <c r="L31" s="25"/>
      <c r="M31" s="25"/>
      <c r="N31" s="25"/>
      <c r="O31" s="25"/>
    </row>
    <row r="32" spans="3:15" x14ac:dyDescent="0.25">
      <c r="C32" s="25">
        <v>40538</v>
      </c>
      <c r="D32" s="25" t="s">
        <v>101</v>
      </c>
      <c r="E32" s="62" t="str">
        <f>+RESUMEN!E16</f>
        <v/>
      </c>
      <c r="F32" s="26" t="e">
        <f>+E32*15</f>
        <v>#VALUE!</v>
      </c>
      <c r="G32" s="62">
        <f>+H32/15</f>
        <v>0</v>
      </c>
      <c r="H32" s="25">
        <f>VLOOKUP(C$5:C$35,'INVENTARIO FISICO'!A$1:B$38,2,FALSE)</f>
        <v>0</v>
      </c>
      <c r="I32" s="62" t="e">
        <f t="shared" si="0"/>
        <v>#VALUE!</v>
      </c>
      <c r="J32" s="26" t="e">
        <f t="shared" si="1"/>
        <v>#VALUE!</v>
      </c>
      <c r="K32" s="64" t="e">
        <f t="shared" si="2"/>
        <v>#VALUE!</v>
      </c>
      <c r="L32" s="25"/>
      <c r="M32" s="25"/>
      <c r="N32" s="25"/>
      <c r="O32" s="25"/>
    </row>
    <row r="33" spans="3:15" x14ac:dyDescent="0.25">
      <c r="C33" s="25">
        <v>40668</v>
      </c>
      <c r="D33" s="25" t="s">
        <v>95</v>
      </c>
      <c r="E33" s="62" t="str">
        <f>+RESUMEN!J18</f>
        <v/>
      </c>
      <c r="F33" s="25" t="e">
        <f>+E33*30</f>
        <v>#VALUE!</v>
      </c>
      <c r="G33" s="63">
        <f>+H33/30</f>
        <v>0</v>
      </c>
      <c r="H33" s="25">
        <f>VLOOKUP(C$5:C$35,'INVENTARIO FISICO'!A$1:B$38,2,FALSE)</f>
        <v>0</v>
      </c>
      <c r="I33" s="62" t="e">
        <f t="shared" si="0"/>
        <v>#VALUE!</v>
      </c>
      <c r="J33" s="26" t="e">
        <f t="shared" si="1"/>
        <v>#VALUE!</v>
      </c>
      <c r="K33" s="64" t="e">
        <f t="shared" si="2"/>
        <v>#VALUE!</v>
      </c>
      <c r="L33" s="25"/>
      <c r="M33" s="25"/>
      <c r="N33" s="25"/>
      <c r="O33" s="25"/>
    </row>
    <row r="34" spans="3:15" x14ac:dyDescent="0.25">
      <c r="C34" s="25">
        <v>40789</v>
      </c>
      <c r="D34" s="25" t="s">
        <v>103</v>
      </c>
      <c r="E34" s="62">
        <f>+RESUMEN!M25</f>
        <v>130</v>
      </c>
      <c r="F34" s="25">
        <f>+E34*30</f>
        <v>3900</v>
      </c>
      <c r="G34" s="63">
        <f>+H34/30</f>
        <v>0</v>
      </c>
      <c r="H34" s="25">
        <f>VLOOKUP(C$5:C$35,'INVENTARIO FISICO'!A$1:B$38,2,FALSE)</f>
        <v>0</v>
      </c>
      <c r="I34" s="62">
        <f t="shared" si="0"/>
        <v>130</v>
      </c>
      <c r="J34" s="26">
        <f t="shared" si="1"/>
        <v>3900</v>
      </c>
      <c r="K34" s="64">
        <f t="shared" si="2"/>
        <v>3900</v>
      </c>
      <c r="L34" s="25"/>
      <c r="M34" s="25"/>
      <c r="N34" s="25"/>
      <c r="O34" s="25"/>
    </row>
    <row r="35" spans="3:15" x14ac:dyDescent="0.25">
      <c r="C35" s="25">
        <v>40790</v>
      </c>
      <c r="D35" s="25" t="s">
        <v>102</v>
      </c>
      <c r="E35" s="62">
        <f>+RESUMEN!M26</f>
        <v>130</v>
      </c>
      <c r="F35" s="26">
        <f>+E35*30</f>
        <v>3900</v>
      </c>
      <c r="G35" s="62">
        <f>+H35/30</f>
        <v>0</v>
      </c>
      <c r="H35" s="25">
        <f>VLOOKUP(C$5:C$35,'INVENTARIO FISICO'!A$1:B$38,2,FALSE)</f>
        <v>0</v>
      </c>
      <c r="I35" s="62">
        <f t="shared" si="0"/>
        <v>130</v>
      </c>
      <c r="J35" s="26">
        <f t="shared" si="1"/>
        <v>3900</v>
      </c>
      <c r="K35" s="64">
        <f t="shared" si="2"/>
        <v>3900</v>
      </c>
      <c r="L35" s="25"/>
      <c r="M35" s="25"/>
      <c r="N35" s="25"/>
      <c r="O35" s="25"/>
    </row>
    <row r="36" spans="3:15" x14ac:dyDescent="0.25">
      <c r="C36" s="25">
        <v>40803</v>
      </c>
      <c r="D36" s="25" t="s">
        <v>107</v>
      </c>
      <c r="E36" s="62" t="str">
        <f>+RESUMEN!F16</f>
        <v/>
      </c>
      <c r="F36" s="26" t="e">
        <f t="shared" ref="F36:F41" si="3">+E36*30</f>
        <v>#VALUE!</v>
      </c>
      <c r="G36" s="62">
        <f t="shared" ref="G36:G41" si="4">+H36/30</f>
        <v>0</v>
      </c>
      <c r="H36" s="25">
        <f>VLOOKUP(C$5:C$41,'INVENTARIO FISICO'!A$1:B$38,2,FALSE)</f>
        <v>0</v>
      </c>
      <c r="I36" s="62" t="e">
        <f t="shared" ref="I36:I41" si="5">+E36-G36</f>
        <v>#VALUE!</v>
      </c>
      <c r="J36" s="26" t="e">
        <f t="shared" ref="J36:J41" si="6">+F36-H36</f>
        <v>#VALUE!</v>
      </c>
      <c r="K36" s="64" t="e">
        <f t="shared" ref="K36:K41" si="7">IF(J36&lt;0,"0",J36*1)</f>
        <v>#VALUE!</v>
      </c>
      <c r="L36" s="25"/>
      <c r="M36" s="25"/>
      <c r="N36" s="25"/>
      <c r="O36" s="25"/>
    </row>
    <row r="37" spans="3:15" x14ac:dyDescent="0.25">
      <c r="C37" s="25">
        <v>40829</v>
      </c>
      <c r="D37" s="25" t="s">
        <v>108</v>
      </c>
      <c r="E37" s="62" t="str">
        <f>+RESUMEN!O30</f>
        <v/>
      </c>
      <c r="F37" s="26" t="e">
        <f>+E37*60</f>
        <v>#VALUE!</v>
      </c>
      <c r="G37" s="62">
        <f>+H37/60</f>
        <v>0</v>
      </c>
      <c r="H37" s="25">
        <f>VLOOKUP(C$5:C$41,'INVENTARIO FISICO'!A$1:B$38,2,FALSE)</f>
        <v>0</v>
      </c>
      <c r="I37" s="62" t="e">
        <f t="shared" si="5"/>
        <v>#VALUE!</v>
      </c>
      <c r="J37" s="26" t="e">
        <f t="shared" si="6"/>
        <v>#VALUE!</v>
      </c>
      <c r="K37" s="64" t="e">
        <f t="shared" si="7"/>
        <v>#VALUE!</v>
      </c>
      <c r="L37" s="25"/>
      <c r="M37" s="25"/>
      <c r="N37" s="25"/>
      <c r="O37" s="25"/>
    </row>
    <row r="38" spans="3:15" x14ac:dyDescent="0.25">
      <c r="C38" s="25">
        <v>40830</v>
      </c>
      <c r="D38" s="25" t="s">
        <v>109</v>
      </c>
      <c r="E38" s="62" t="str">
        <f>+RESUMEN!M30</f>
        <v/>
      </c>
      <c r="F38" s="26" t="e">
        <f t="shared" si="3"/>
        <v>#VALUE!</v>
      </c>
      <c r="G38" s="62">
        <f t="shared" si="4"/>
        <v>0</v>
      </c>
      <c r="H38" s="25">
        <f>VLOOKUP(C$5:C$41,'INVENTARIO FISICO'!A$1:B$38,2,FALSE)</f>
        <v>0</v>
      </c>
      <c r="I38" s="62" t="e">
        <f t="shared" si="5"/>
        <v>#VALUE!</v>
      </c>
      <c r="J38" s="26" t="e">
        <f t="shared" si="6"/>
        <v>#VALUE!</v>
      </c>
      <c r="K38" s="64" t="e">
        <f t="shared" si="7"/>
        <v>#VALUE!</v>
      </c>
      <c r="L38" s="25"/>
      <c r="M38" s="25"/>
      <c r="N38" s="25"/>
      <c r="O38" s="25"/>
    </row>
    <row r="39" spans="3:15" x14ac:dyDescent="0.25">
      <c r="C39" s="25">
        <v>40831</v>
      </c>
      <c r="D39" s="25" t="s">
        <v>110</v>
      </c>
      <c r="E39" s="62" t="str">
        <f>+RESUMEN!M31</f>
        <v/>
      </c>
      <c r="F39" s="26" t="e">
        <f t="shared" si="3"/>
        <v>#VALUE!</v>
      </c>
      <c r="G39" s="62">
        <f t="shared" si="4"/>
        <v>0</v>
      </c>
      <c r="H39" s="25">
        <f>VLOOKUP(C$5:C$41,'INVENTARIO FISICO'!A$1:B$38,2,FALSE)</f>
        <v>0</v>
      </c>
      <c r="I39" s="62" t="e">
        <f t="shared" si="5"/>
        <v>#VALUE!</v>
      </c>
      <c r="J39" s="26" t="e">
        <f t="shared" si="6"/>
        <v>#VALUE!</v>
      </c>
      <c r="K39" s="64" t="e">
        <f t="shared" si="7"/>
        <v>#VALUE!</v>
      </c>
      <c r="L39" s="25"/>
      <c r="M39" s="25"/>
      <c r="N39" s="25"/>
      <c r="O39" s="25"/>
    </row>
    <row r="40" spans="3:15" x14ac:dyDescent="0.25">
      <c r="C40" s="25">
        <v>40832</v>
      </c>
      <c r="D40" s="25" t="s">
        <v>111</v>
      </c>
      <c r="E40" s="62" t="str">
        <f>+RESUMEN!M33</f>
        <v/>
      </c>
      <c r="F40" s="26" t="e">
        <f t="shared" si="3"/>
        <v>#VALUE!</v>
      </c>
      <c r="G40" s="62">
        <f t="shared" si="4"/>
        <v>0</v>
      </c>
      <c r="H40" s="25">
        <f>VLOOKUP(C$5:C$41,'INVENTARIO FISICO'!A$1:B$38,2,FALSE)</f>
        <v>0</v>
      </c>
      <c r="I40" s="62" t="e">
        <f t="shared" si="5"/>
        <v>#VALUE!</v>
      </c>
      <c r="J40" s="26" t="e">
        <f t="shared" si="6"/>
        <v>#VALUE!</v>
      </c>
      <c r="K40" s="64" t="e">
        <f t="shared" si="7"/>
        <v>#VALUE!</v>
      </c>
      <c r="L40" s="25"/>
      <c r="M40" s="25"/>
      <c r="N40" s="25"/>
      <c r="O40" s="25"/>
    </row>
    <row r="41" spans="3:15" x14ac:dyDescent="0.25">
      <c r="C41" s="25">
        <v>40833</v>
      </c>
      <c r="D41" s="25" t="s">
        <v>112</v>
      </c>
      <c r="E41" s="62" t="str">
        <f>+RESUMEN!J32</f>
        <v/>
      </c>
      <c r="F41" s="26" t="e">
        <f t="shared" si="3"/>
        <v>#VALUE!</v>
      </c>
      <c r="G41" s="62">
        <f t="shared" si="4"/>
        <v>0</v>
      </c>
      <c r="H41" s="25">
        <f>VLOOKUP(C$5:C$41,'INVENTARIO FISICO'!A$1:B$38,2,FALSE)</f>
        <v>0</v>
      </c>
      <c r="I41" s="62" t="e">
        <f t="shared" si="5"/>
        <v>#VALUE!</v>
      </c>
      <c r="J41" s="26" t="e">
        <f t="shared" si="6"/>
        <v>#VALUE!</v>
      </c>
      <c r="K41" s="64" t="e">
        <f t="shared" si="7"/>
        <v>#VALUE!</v>
      </c>
      <c r="L41" s="25"/>
      <c r="M41" s="25"/>
      <c r="N41" s="25"/>
      <c r="O41" s="25"/>
    </row>
  </sheetData>
  <sheetProtection autoFilter="0"/>
  <autoFilter ref="C4:K35" xr:uid="{00000000-0009-0000-0000-000004000000}"/>
  <pageMargins left="0.25" right="0.25" top="0.75" bottom="0.75" header="0.3" footer="0.3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9"/>
  <sheetViews>
    <sheetView workbookViewId="0"/>
  </sheetViews>
  <sheetFormatPr baseColWidth="10" defaultRowHeight="15" x14ac:dyDescent="0.25"/>
  <cols>
    <col min="1" max="1" width="10.28515625" customWidth="1"/>
    <col min="2" max="2" width="11.85546875" customWidth="1"/>
  </cols>
  <sheetData>
    <row r="1" spans="1:2" ht="15.75" thickBot="1" x14ac:dyDescent="0.3">
      <c r="A1" s="25" t="s">
        <v>35</v>
      </c>
      <c r="B1" s="25" t="s">
        <v>71</v>
      </c>
    </row>
    <row r="2" spans="1:2" ht="18.75" x14ac:dyDescent="0.3">
      <c r="A2" s="57">
        <v>30018</v>
      </c>
      <c r="B2" s="61"/>
    </row>
    <row r="3" spans="1:2" ht="18.75" x14ac:dyDescent="0.3">
      <c r="A3" s="58">
        <v>30019</v>
      </c>
      <c r="B3" s="61"/>
    </row>
    <row r="4" spans="1:2" ht="18.75" x14ac:dyDescent="0.3">
      <c r="A4" s="58">
        <v>30024</v>
      </c>
      <c r="B4" s="61"/>
    </row>
    <row r="5" spans="1:2" ht="18.75" x14ac:dyDescent="0.3">
      <c r="A5" s="58">
        <v>30031</v>
      </c>
      <c r="B5" s="61"/>
    </row>
    <row r="6" spans="1:2" ht="18.75" x14ac:dyDescent="0.3">
      <c r="A6" s="58">
        <v>30032</v>
      </c>
      <c r="B6" s="61"/>
    </row>
    <row r="7" spans="1:2" ht="18.75" x14ac:dyDescent="0.3">
      <c r="A7" s="58">
        <v>30037</v>
      </c>
      <c r="B7" s="61"/>
    </row>
    <row r="8" spans="1:2" ht="18.75" x14ac:dyDescent="0.3">
      <c r="A8" s="58">
        <v>30040</v>
      </c>
      <c r="B8" s="61"/>
    </row>
    <row r="9" spans="1:2" ht="18.75" x14ac:dyDescent="0.3">
      <c r="A9" s="58">
        <v>30041</v>
      </c>
      <c r="B9" s="61"/>
    </row>
    <row r="10" spans="1:2" ht="18.75" x14ac:dyDescent="0.3">
      <c r="A10" s="58">
        <v>30043</v>
      </c>
      <c r="B10" s="61"/>
    </row>
    <row r="11" spans="1:2" ht="18.75" x14ac:dyDescent="0.3">
      <c r="A11" s="58">
        <v>30045</v>
      </c>
      <c r="B11" s="61"/>
    </row>
    <row r="12" spans="1:2" ht="18.75" x14ac:dyDescent="0.3">
      <c r="A12" s="58">
        <v>30046</v>
      </c>
      <c r="B12" s="61"/>
    </row>
    <row r="13" spans="1:2" ht="18.75" x14ac:dyDescent="0.3">
      <c r="A13" s="58">
        <v>30047</v>
      </c>
      <c r="B13" s="61"/>
    </row>
    <row r="14" spans="1:2" ht="18.75" x14ac:dyDescent="0.3">
      <c r="A14" s="58">
        <v>30048</v>
      </c>
      <c r="B14" s="61"/>
    </row>
    <row r="15" spans="1:2" ht="18.75" x14ac:dyDescent="0.3">
      <c r="A15" s="58">
        <v>30049</v>
      </c>
      <c r="B15" s="61"/>
    </row>
    <row r="16" spans="1:2" ht="18.75" x14ac:dyDescent="0.3">
      <c r="A16" s="58">
        <v>30052</v>
      </c>
      <c r="B16" s="61"/>
    </row>
    <row r="17" spans="1:2" ht="18.75" x14ac:dyDescent="0.3">
      <c r="A17" s="58">
        <v>30056</v>
      </c>
      <c r="B17" s="61"/>
    </row>
    <row r="18" spans="1:2" ht="18.75" x14ac:dyDescent="0.3">
      <c r="A18" s="58">
        <v>40105</v>
      </c>
      <c r="B18" s="61"/>
    </row>
    <row r="19" spans="1:2" ht="18.75" x14ac:dyDescent="0.3">
      <c r="A19" s="58">
        <v>40135</v>
      </c>
      <c r="B19" s="61"/>
    </row>
    <row r="20" spans="1:2" ht="18.75" x14ac:dyDescent="0.3">
      <c r="A20" s="58">
        <v>40205</v>
      </c>
      <c r="B20" s="61"/>
    </row>
    <row r="21" spans="1:2" ht="18.75" x14ac:dyDescent="0.3">
      <c r="A21" s="58">
        <v>40254</v>
      </c>
      <c r="B21" s="61"/>
    </row>
    <row r="22" spans="1:2" ht="18.75" x14ac:dyDescent="0.3">
      <c r="A22" s="58">
        <v>40265</v>
      </c>
      <c r="B22" s="61"/>
    </row>
    <row r="23" spans="1:2" ht="18.75" x14ac:dyDescent="0.3">
      <c r="A23" s="58">
        <v>40434</v>
      </c>
      <c r="B23" s="61"/>
    </row>
    <row r="24" spans="1:2" ht="18.75" x14ac:dyDescent="0.3">
      <c r="A24" s="58">
        <v>40475</v>
      </c>
      <c r="B24" s="61"/>
    </row>
    <row r="25" spans="1:2" ht="18.75" x14ac:dyDescent="0.3">
      <c r="A25" s="58">
        <v>40477</v>
      </c>
      <c r="B25" s="61"/>
    </row>
    <row r="26" spans="1:2" ht="18.75" x14ac:dyDescent="0.3">
      <c r="A26" s="58">
        <v>40515</v>
      </c>
      <c r="B26" s="61"/>
    </row>
    <row r="27" spans="1:2" ht="18.75" x14ac:dyDescent="0.3">
      <c r="A27" s="58">
        <v>40526</v>
      </c>
      <c r="B27" s="61"/>
    </row>
    <row r="28" spans="1:2" ht="18.75" x14ac:dyDescent="0.3">
      <c r="A28" s="58">
        <v>40537</v>
      </c>
      <c r="B28" s="61"/>
    </row>
    <row r="29" spans="1:2" ht="18.75" x14ac:dyDescent="0.3">
      <c r="A29" s="59">
        <v>40538</v>
      </c>
      <c r="B29" s="61"/>
    </row>
    <row r="30" spans="1:2" ht="18.75" x14ac:dyDescent="0.3">
      <c r="A30" s="59">
        <v>40668</v>
      </c>
      <c r="B30" s="61"/>
    </row>
    <row r="31" spans="1:2" ht="18.75" x14ac:dyDescent="0.3">
      <c r="A31" s="59">
        <v>40789</v>
      </c>
      <c r="B31" s="61"/>
    </row>
    <row r="32" spans="1:2" ht="18.75" x14ac:dyDescent="0.3">
      <c r="A32" s="59">
        <v>40790</v>
      </c>
      <c r="B32" s="61"/>
    </row>
    <row r="33" spans="1:2" ht="18.75" x14ac:dyDescent="0.3">
      <c r="A33" s="59">
        <v>40803</v>
      </c>
      <c r="B33" s="61"/>
    </row>
    <row r="34" spans="1:2" ht="18.75" x14ac:dyDescent="0.3">
      <c r="A34" s="59">
        <v>40829</v>
      </c>
      <c r="B34" s="61"/>
    </row>
    <row r="35" spans="1:2" ht="18.75" x14ac:dyDescent="0.3">
      <c r="A35" s="58">
        <v>40830</v>
      </c>
      <c r="B35" s="61"/>
    </row>
    <row r="36" spans="1:2" ht="18.75" x14ac:dyDescent="0.3">
      <c r="A36" s="58">
        <v>40831</v>
      </c>
      <c r="B36" s="61"/>
    </row>
    <row r="37" spans="1:2" ht="18.75" x14ac:dyDescent="0.3">
      <c r="A37" s="60">
        <v>40832</v>
      </c>
      <c r="B37" s="61"/>
    </row>
    <row r="38" spans="1:2" ht="19.5" thickBot="1" x14ac:dyDescent="0.35">
      <c r="A38" s="60">
        <v>40833</v>
      </c>
      <c r="B38" s="61"/>
    </row>
    <row r="39" spans="1:2" ht="18.75" x14ac:dyDescent="0.3">
      <c r="B39" s="5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K38"/>
  <sheetViews>
    <sheetView workbookViewId="0"/>
  </sheetViews>
  <sheetFormatPr baseColWidth="10" defaultRowHeight="15" x14ac:dyDescent="0.25"/>
  <cols>
    <col min="4" max="4" width="44.28515625" bestFit="1" customWidth="1"/>
    <col min="9" max="9" width="16.7109375" bestFit="1" customWidth="1"/>
    <col min="11" max="11" width="14.42578125" bestFit="1" customWidth="1"/>
  </cols>
  <sheetData>
    <row r="3" spans="3:11" ht="15.75" thickBot="1" x14ac:dyDescent="0.3"/>
    <row r="4" spans="3:11" x14ac:dyDescent="0.25">
      <c r="C4" s="22" t="s">
        <v>35</v>
      </c>
      <c r="D4" s="23" t="s">
        <v>36</v>
      </c>
      <c r="E4" s="23" t="s">
        <v>79</v>
      </c>
      <c r="F4" s="23" t="s">
        <v>81</v>
      </c>
      <c r="G4" s="23" t="s">
        <v>82</v>
      </c>
      <c r="H4" s="23" t="s">
        <v>83</v>
      </c>
      <c r="I4" s="23" t="s">
        <v>84</v>
      </c>
      <c r="J4" s="23" t="s">
        <v>85</v>
      </c>
      <c r="K4" s="23" t="s">
        <v>80</v>
      </c>
    </row>
    <row r="5" spans="3:11" x14ac:dyDescent="0.25">
      <c r="C5" s="24">
        <v>30018</v>
      </c>
      <c r="D5" s="25" t="s">
        <v>37</v>
      </c>
      <c r="E5" s="26">
        <f>+NOTIFICACION!E5/30</f>
        <v>12.666666666666666</v>
      </c>
      <c r="F5" s="26"/>
      <c r="G5" s="26"/>
      <c r="H5" s="26"/>
      <c r="I5" s="26">
        <f>E5/10</f>
        <v>1.2666666666666666</v>
      </c>
      <c r="J5" s="26"/>
      <c r="K5" s="25">
        <f>E5/10</f>
        <v>1.2666666666666666</v>
      </c>
    </row>
    <row r="6" spans="3:11" x14ac:dyDescent="0.25">
      <c r="C6" s="24">
        <v>30019</v>
      </c>
      <c r="D6" s="25" t="s">
        <v>38</v>
      </c>
      <c r="E6" s="26"/>
      <c r="F6" s="26">
        <f>+NOTIFICACION!E6/12</f>
        <v>4.583333333333333</v>
      </c>
      <c r="G6" s="26"/>
      <c r="H6" s="26"/>
      <c r="I6" s="26"/>
      <c r="J6" s="26"/>
      <c r="K6" s="25">
        <f>F6/24</f>
        <v>0.19097222222222221</v>
      </c>
    </row>
    <row r="7" spans="3:11" x14ac:dyDescent="0.25">
      <c r="C7" s="24">
        <v>30024</v>
      </c>
      <c r="D7" s="25" t="s">
        <v>39</v>
      </c>
      <c r="E7" s="26" t="e">
        <f>+NOTIFICACION!E7/30</f>
        <v>#VALUE!</v>
      </c>
      <c r="F7" s="26"/>
      <c r="G7" s="26"/>
      <c r="H7" s="26"/>
      <c r="I7" s="26" t="e">
        <f>E7/10</f>
        <v>#VALUE!</v>
      </c>
      <c r="J7" s="26"/>
      <c r="K7" s="25" t="e">
        <f>E7/10</f>
        <v>#VALUE!</v>
      </c>
    </row>
    <row r="8" spans="3:11" x14ac:dyDescent="0.25">
      <c r="C8" s="24">
        <v>30031</v>
      </c>
      <c r="D8" s="25" t="s">
        <v>40</v>
      </c>
      <c r="E8" s="26"/>
      <c r="F8" s="26"/>
      <c r="G8" s="26"/>
      <c r="H8" s="26" t="e">
        <f>+NOTIFICACION!E8/30</f>
        <v>#VALUE!</v>
      </c>
      <c r="I8" s="26" t="e">
        <f>H8/10</f>
        <v>#VALUE!</v>
      </c>
      <c r="J8" s="26"/>
      <c r="K8" s="25" t="e">
        <f>H8/10</f>
        <v>#VALUE!</v>
      </c>
    </row>
    <row r="9" spans="3:11" x14ac:dyDescent="0.25">
      <c r="C9" s="24">
        <v>30032</v>
      </c>
      <c r="D9" s="25" t="s">
        <v>41</v>
      </c>
      <c r="E9" s="26"/>
      <c r="F9" s="26">
        <f>+NOTIFICACION!E9/12</f>
        <v>1.9166666666666667</v>
      </c>
      <c r="G9" s="26"/>
      <c r="H9" s="26"/>
      <c r="I9" s="26"/>
      <c r="J9" s="26"/>
      <c r="K9" s="25">
        <f>F9/24</f>
        <v>7.9861111111111119E-2</v>
      </c>
    </row>
    <row r="10" spans="3:11" x14ac:dyDescent="0.25">
      <c r="C10" s="24">
        <v>30037</v>
      </c>
      <c r="D10" s="25" t="s">
        <v>42</v>
      </c>
      <c r="E10" s="26"/>
      <c r="F10" s="26" t="e">
        <f>+NOTIFICACION!E10/12</f>
        <v>#VALUE!</v>
      </c>
      <c r="G10" s="26"/>
      <c r="H10" s="26"/>
      <c r="I10" s="26"/>
      <c r="J10" s="26"/>
      <c r="K10" s="25" t="e">
        <f>F10/24</f>
        <v>#VALUE!</v>
      </c>
    </row>
    <row r="11" spans="3:11" x14ac:dyDescent="0.25">
      <c r="C11" s="24">
        <v>30040</v>
      </c>
      <c r="D11" s="25" t="s">
        <v>43</v>
      </c>
      <c r="E11" s="26"/>
      <c r="F11" s="26"/>
      <c r="G11" s="26">
        <f>+NOTIFICACION!E11/30</f>
        <v>273.8</v>
      </c>
      <c r="H11" s="26"/>
      <c r="I11" s="26"/>
      <c r="J11" s="26">
        <f>G11/168</f>
        <v>1.6297619047619047</v>
      </c>
      <c r="K11" s="25"/>
    </row>
    <row r="12" spans="3:11" x14ac:dyDescent="0.25">
      <c r="C12" s="24">
        <v>30041</v>
      </c>
      <c r="D12" s="25" t="s">
        <v>44</v>
      </c>
      <c r="E12" s="26"/>
      <c r="F12" s="26" t="e">
        <f>+NOTIFICACION!E12/6</f>
        <v>#VALUE!</v>
      </c>
      <c r="G12" s="26"/>
      <c r="H12" s="26"/>
      <c r="I12" s="26"/>
      <c r="J12" s="26"/>
      <c r="K12" s="25" t="e">
        <f>F12/48</f>
        <v>#VALUE!</v>
      </c>
    </row>
    <row r="13" spans="3:11" x14ac:dyDescent="0.25">
      <c r="C13" s="24">
        <v>30043</v>
      </c>
      <c r="D13" s="25" t="s">
        <v>45</v>
      </c>
      <c r="E13" s="26"/>
      <c r="F13" s="26" t="e">
        <f>+NOTIFICACION!E13/12</f>
        <v>#VALUE!</v>
      </c>
      <c r="G13" s="26"/>
      <c r="H13" s="26"/>
      <c r="I13" s="26"/>
      <c r="J13" s="26"/>
      <c r="K13" s="25" t="e">
        <f>F13/24</f>
        <v>#VALUE!</v>
      </c>
    </row>
    <row r="14" spans="3:11" x14ac:dyDescent="0.25">
      <c r="C14" s="24">
        <v>30045</v>
      </c>
      <c r="D14" s="25" t="s">
        <v>46</v>
      </c>
      <c r="E14" s="26"/>
      <c r="F14" s="26"/>
      <c r="G14" s="26"/>
      <c r="H14" s="26" t="e">
        <f>+NOTIFICACION!E14/15</f>
        <v>#VALUE!</v>
      </c>
      <c r="I14" s="26" t="e">
        <f>H14/24</f>
        <v>#VALUE!</v>
      </c>
      <c r="J14" s="26"/>
      <c r="K14" s="25" t="e">
        <f>H14/24</f>
        <v>#VALUE!</v>
      </c>
    </row>
    <row r="15" spans="3:11" x14ac:dyDescent="0.25">
      <c r="C15" s="24">
        <v>30046</v>
      </c>
      <c r="D15" s="25" t="s">
        <v>47</v>
      </c>
      <c r="E15" s="26"/>
      <c r="F15" s="26"/>
      <c r="G15" s="26">
        <f>+NOTIFICACION!E15/30</f>
        <v>13.333333333333334</v>
      </c>
      <c r="H15" s="26"/>
      <c r="I15" s="26"/>
      <c r="J15" s="26">
        <f>G15/168</f>
        <v>7.9365079365079375E-2</v>
      </c>
      <c r="K15" s="25"/>
    </row>
    <row r="16" spans="3:11" x14ac:dyDescent="0.25">
      <c r="C16" s="53">
        <v>30046</v>
      </c>
      <c r="D16" t="s">
        <v>70</v>
      </c>
      <c r="E16" s="26"/>
      <c r="F16" s="26"/>
      <c r="G16" s="26">
        <f>+NOTIFICACION!J16/30</f>
        <v>0</v>
      </c>
      <c r="H16" s="26"/>
      <c r="I16" s="26">
        <f>G16/12</f>
        <v>0</v>
      </c>
      <c r="J16" s="26"/>
      <c r="K16" s="25">
        <f>G16/12</f>
        <v>0</v>
      </c>
    </row>
    <row r="17" spans="3:11" x14ac:dyDescent="0.25">
      <c r="C17" s="24">
        <v>30047</v>
      </c>
      <c r="D17" s="25" t="s">
        <v>48</v>
      </c>
      <c r="E17" s="26"/>
      <c r="F17" s="26"/>
      <c r="G17" s="26"/>
      <c r="H17" s="26">
        <f>+NOTIFICACION!E17/30</f>
        <v>0.76666666666666672</v>
      </c>
      <c r="I17" s="26">
        <f>H17/10</f>
        <v>7.6666666666666675E-2</v>
      </c>
      <c r="J17" s="26"/>
      <c r="K17" s="25">
        <f>H17/10</f>
        <v>7.6666666666666675E-2</v>
      </c>
    </row>
    <row r="18" spans="3:11" x14ac:dyDescent="0.25">
      <c r="C18" s="24">
        <v>30048</v>
      </c>
      <c r="D18" s="25" t="s">
        <v>49</v>
      </c>
      <c r="E18" s="26"/>
      <c r="F18" s="26">
        <f>+NOTIFICACION!E18/6</f>
        <v>6.666666666666667</v>
      </c>
      <c r="G18" s="26"/>
      <c r="H18" s="26"/>
      <c r="I18" s="26"/>
      <c r="J18" s="26"/>
      <c r="K18" s="25">
        <f>F18/48</f>
        <v>0.1388888888888889</v>
      </c>
    </row>
    <row r="19" spans="3:11" x14ac:dyDescent="0.25">
      <c r="C19" s="24">
        <v>30049</v>
      </c>
      <c r="D19" s="25" t="s">
        <v>50</v>
      </c>
      <c r="E19" s="26"/>
      <c r="F19" s="26">
        <f>+NOTIFICACION!E19/12</f>
        <v>0</v>
      </c>
      <c r="G19" s="26"/>
      <c r="H19" s="26"/>
      <c r="I19" s="26"/>
      <c r="J19" s="26"/>
      <c r="K19" s="25">
        <f>F19/24</f>
        <v>0</v>
      </c>
    </row>
    <row r="20" spans="3:11" x14ac:dyDescent="0.25">
      <c r="C20" s="24">
        <v>30052</v>
      </c>
      <c r="D20" s="25" t="s">
        <v>51</v>
      </c>
      <c r="E20" s="26"/>
      <c r="F20" s="26"/>
      <c r="G20" s="26">
        <f>+NOTIFICACION!J20/30</f>
        <v>257</v>
      </c>
      <c r="H20" s="26"/>
      <c r="I20" s="26"/>
      <c r="J20" s="26">
        <f>G20/60</f>
        <v>4.2833333333333332</v>
      </c>
      <c r="K20" s="25"/>
    </row>
    <row r="21" spans="3:11" x14ac:dyDescent="0.25">
      <c r="C21" s="24">
        <v>30056</v>
      </c>
      <c r="D21" s="25" t="s">
        <v>52</v>
      </c>
      <c r="E21" s="26"/>
      <c r="F21" s="26"/>
      <c r="G21" s="26" t="e">
        <f>+NOTIFICACION!E21/30</f>
        <v>#VALUE!</v>
      </c>
      <c r="H21" s="26"/>
      <c r="I21" s="26"/>
      <c r="J21" s="26" t="e">
        <f>G21/168</f>
        <v>#VALUE!</v>
      </c>
      <c r="K21" s="25"/>
    </row>
    <row r="22" spans="3:11" hidden="1" x14ac:dyDescent="0.25">
      <c r="C22" s="24">
        <v>30060</v>
      </c>
      <c r="D22" s="25" t="s">
        <v>67</v>
      </c>
      <c r="E22" s="26" t="e">
        <f>+NOTIFICACION!E22/30</f>
        <v>#VALUE!</v>
      </c>
      <c r="F22" s="26"/>
      <c r="G22" s="26"/>
      <c r="H22" s="26"/>
      <c r="I22" s="26"/>
      <c r="J22" s="26" t="e">
        <f>E22/10</f>
        <v>#VALUE!</v>
      </c>
      <c r="K22" s="25" t="e">
        <f>E22/10</f>
        <v>#VALUE!</v>
      </c>
    </row>
    <row r="23" spans="3:11" x14ac:dyDescent="0.25">
      <c r="C23" s="24">
        <v>40105</v>
      </c>
      <c r="D23" s="25" t="s">
        <v>53</v>
      </c>
      <c r="E23" s="26">
        <f>+NOTIFICACION!E23/15</f>
        <v>2.1333333333333333</v>
      </c>
      <c r="F23" s="26"/>
      <c r="G23" s="26"/>
      <c r="H23" s="26"/>
      <c r="I23" s="26">
        <f>E23/20</f>
        <v>0.10666666666666666</v>
      </c>
      <c r="J23" s="26"/>
      <c r="K23" s="25">
        <f>E23/20</f>
        <v>0.10666666666666666</v>
      </c>
    </row>
    <row r="24" spans="3:11" x14ac:dyDescent="0.25">
      <c r="C24" s="24">
        <v>40135</v>
      </c>
      <c r="D24" s="25" t="s">
        <v>54</v>
      </c>
      <c r="E24" s="26"/>
      <c r="F24" s="26" t="e">
        <f>+NOTIFICACION!#REF!/12</f>
        <v>#REF!</v>
      </c>
      <c r="G24" s="26"/>
      <c r="H24" s="26"/>
      <c r="I24" s="26"/>
      <c r="J24" s="26"/>
      <c r="K24" s="25" t="e">
        <f>F24/24</f>
        <v>#REF!</v>
      </c>
    </row>
    <row r="25" spans="3:11" x14ac:dyDescent="0.25">
      <c r="C25" s="24">
        <v>40205</v>
      </c>
      <c r="D25" s="25" t="s">
        <v>55</v>
      </c>
      <c r="E25" s="26" t="e">
        <f>+NOTIFICACION!#REF!/20</f>
        <v>#REF!</v>
      </c>
      <c r="F25" s="26"/>
      <c r="G25" s="26"/>
      <c r="H25" s="26"/>
      <c r="I25" s="26"/>
      <c r="J25" s="26" t="e">
        <f>E25/8</f>
        <v>#REF!</v>
      </c>
      <c r="K25" s="25" t="e">
        <f>E25/8</f>
        <v>#REF!</v>
      </c>
    </row>
    <row r="26" spans="3:11" x14ac:dyDescent="0.25">
      <c r="C26" s="24">
        <v>40254</v>
      </c>
      <c r="D26" s="25" t="s">
        <v>56</v>
      </c>
      <c r="E26" s="26" t="e">
        <f>+NOTIFICACION!#REF!/12</f>
        <v>#REF!</v>
      </c>
      <c r="F26" s="26" t="e">
        <f>+NOTIFICACION!#REF!/12</f>
        <v>#REF!</v>
      </c>
      <c r="G26" s="26"/>
      <c r="H26" s="26"/>
      <c r="I26" s="26"/>
      <c r="J26" s="26"/>
      <c r="K26" s="25" t="e">
        <f>E26/24</f>
        <v>#REF!</v>
      </c>
    </row>
    <row r="27" spans="3:11" x14ac:dyDescent="0.25">
      <c r="C27" s="24">
        <v>40265</v>
      </c>
      <c r="D27" s="25" t="s">
        <v>57</v>
      </c>
      <c r="E27" s="26" t="e">
        <f>+NOTIFICACION!#REF!/30</f>
        <v>#REF!</v>
      </c>
      <c r="F27" s="26"/>
      <c r="G27" s="26"/>
      <c r="H27" s="26"/>
      <c r="I27" s="26" t="e">
        <f>E27/10</f>
        <v>#REF!</v>
      </c>
      <c r="J27" s="26"/>
      <c r="K27" s="25" t="e">
        <f>E27/10</f>
        <v>#REF!</v>
      </c>
    </row>
    <row r="28" spans="3:11" hidden="1" x14ac:dyDescent="0.25">
      <c r="C28" s="24">
        <v>40327</v>
      </c>
      <c r="D28" s="25" t="s">
        <v>58</v>
      </c>
      <c r="E28" s="26">
        <f>+NOTIFICACION!E24/30</f>
        <v>0.43333333333333335</v>
      </c>
      <c r="F28" s="26">
        <v>0</v>
      </c>
      <c r="G28" s="26">
        <v>0</v>
      </c>
      <c r="H28" s="26">
        <v>0</v>
      </c>
      <c r="I28" s="26"/>
      <c r="J28" s="26">
        <v>0</v>
      </c>
      <c r="K28" s="25">
        <v>0</v>
      </c>
    </row>
    <row r="29" spans="3:11" x14ac:dyDescent="0.25">
      <c r="C29" s="24">
        <v>40475</v>
      </c>
      <c r="D29" s="25" t="s">
        <v>59</v>
      </c>
      <c r="E29" s="26"/>
      <c r="F29" s="26">
        <f>+NOTIFICACION!E25/12</f>
        <v>10.916666666666666</v>
      </c>
      <c r="G29" s="26"/>
      <c r="H29" s="26"/>
      <c r="I29" s="26"/>
      <c r="J29" s="26"/>
      <c r="K29" s="25">
        <f>F29/24</f>
        <v>0.4548611111111111</v>
      </c>
    </row>
    <row r="30" spans="3:11" x14ac:dyDescent="0.25">
      <c r="C30" s="24">
        <v>40477</v>
      </c>
      <c r="D30" s="25" t="s">
        <v>60</v>
      </c>
      <c r="E30" s="26"/>
      <c r="F30" s="26" t="e">
        <f>+NOTIFICACION!#REF!/15</f>
        <v>#REF!</v>
      </c>
      <c r="G30" s="26"/>
      <c r="H30" s="26"/>
      <c r="I30" s="26"/>
      <c r="J30" s="26"/>
      <c r="K30" s="25" t="e">
        <f>F30/24</f>
        <v>#REF!</v>
      </c>
    </row>
    <row r="31" spans="3:11" x14ac:dyDescent="0.25">
      <c r="C31" s="24">
        <v>40515</v>
      </c>
      <c r="D31" s="25" t="s">
        <v>61</v>
      </c>
      <c r="E31" s="26"/>
      <c r="F31" s="26">
        <f>+NOTIFICACION!E27/15</f>
        <v>7.2</v>
      </c>
      <c r="G31" s="26"/>
      <c r="H31" s="26"/>
      <c r="I31" s="26"/>
      <c r="J31" s="26"/>
      <c r="K31" s="25">
        <f>F31/24</f>
        <v>0.3</v>
      </c>
    </row>
    <row r="32" spans="3:11" x14ac:dyDescent="0.25">
      <c r="C32" s="24">
        <v>40525</v>
      </c>
      <c r="D32" s="25" t="s">
        <v>62</v>
      </c>
      <c r="E32" s="26">
        <f>+NOTIFICACION!E28/60</f>
        <v>0.8</v>
      </c>
      <c r="F32" s="26"/>
      <c r="G32" s="26"/>
      <c r="H32" s="26"/>
      <c r="I32" s="26">
        <f>E32/6</f>
        <v>0.13333333333333333</v>
      </c>
      <c r="J32" s="26"/>
      <c r="K32" s="25">
        <f>E32/6</f>
        <v>0.13333333333333333</v>
      </c>
    </row>
    <row r="33" spans="3:11" x14ac:dyDescent="0.25">
      <c r="C33" s="24">
        <v>40526</v>
      </c>
      <c r="D33" s="25" t="s">
        <v>63</v>
      </c>
      <c r="E33" s="26" t="e">
        <f>+NOTIFICACION!E29/30</f>
        <v>#VALUE!</v>
      </c>
      <c r="F33" s="26"/>
      <c r="G33" s="26"/>
      <c r="H33" s="26"/>
      <c r="I33" s="26" t="e">
        <f>E33/10</f>
        <v>#VALUE!</v>
      </c>
      <c r="J33" s="26"/>
      <c r="K33" s="25" t="e">
        <f>E33/10</f>
        <v>#VALUE!</v>
      </c>
    </row>
    <row r="34" spans="3:11" x14ac:dyDescent="0.25">
      <c r="C34" s="24">
        <v>40537</v>
      </c>
      <c r="D34" s="25" t="s">
        <v>64</v>
      </c>
      <c r="E34" s="26" t="e">
        <f>+NOTIFICACION!#REF!/30</f>
        <v>#REF!</v>
      </c>
      <c r="F34" s="26"/>
      <c r="G34" s="26"/>
      <c r="H34" s="26"/>
      <c r="I34" s="26" t="e">
        <f>E34/10</f>
        <v>#REF!</v>
      </c>
      <c r="J34" s="26"/>
      <c r="K34" s="25" t="e">
        <f>E34/10</f>
        <v>#REF!</v>
      </c>
    </row>
    <row r="35" spans="3:11" x14ac:dyDescent="0.25">
      <c r="C35" s="24">
        <v>40538</v>
      </c>
      <c r="D35" s="25" t="s">
        <v>65</v>
      </c>
      <c r="E35" s="26"/>
      <c r="F35" s="26">
        <f>+NOTIFICACION!E30/15</f>
        <v>7.4</v>
      </c>
      <c r="G35" s="26"/>
      <c r="H35" s="26"/>
      <c r="I35" s="26"/>
      <c r="J35" s="26"/>
      <c r="K35" s="25">
        <f>F35/24</f>
        <v>0.30833333333333335</v>
      </c>
    </row>
    <row r="36" spans="3:11" x14ac:dyDescent="0.25">
      <c r="C36" s="44">
        <v>40668</v>
      </c>
      <c r="D36" s="45" t="s">
        <v>66</v>
      </c>
      <c r="E36" s="26">
        <f>+NOTIFICACION!E31/30</f>
        <v>1</v>
      </c>
      <c r="F36" s="46"/>
      <c r="G36" s="46"/>
      <c r="H36" s="46"/>
      <c r="I36" s="46">
        <f>E36/10</f>
        <v>0.1</v>
      </c>
      <c r="J36" s="26"/>
      <c r="K36" s="25">
        <f>E36/10</f>
        <v>0.1</v>
      </c>
    </row>
    <row r="37" spans="3:11" x14ac:dyDescent="0.25">
      <c r="C37" s="25">
        <v>40789</v>
      </c>
      <c r="D37" s="25" t="s">
        <v>76</v>
      </c>
      <c r="E37" s="26"/>
      <c r="F37" s="46"/>
      <c r="G37" s="46" t="e">
        <f>+NOTIFICACION!E32/30</f>
        <v>#VALUE!</v>
      </c>
      <c r="H37" s="46"/>
      <c r="I37" s="46"/>
      <c r="J37" s="26" t="e">
        <f>G37/168</f>
        <v>#VALUE!</v>
      </c>
      <c r="K37" s="25"/>
    </row>
    <row r="38" spans="3:11" x14ac:dyDescent="0.25">
      <c r="C38" s="25">
        <v>40790</v>
      </c>
      <c r="D38" s="25" t="s">
        <v>77</v>
      </c>
      <c r="E38" s="26"/>
      <c r="F38" s="26"/>
      <c r="G38" s="26" t="e">
        <f>+NOTIFICACION!#REF!/30</f>
        <v>#REF!</v>
      </c>
      <c r="H38" s="26"/>
      <c r="I38" s="26"/>
      <c r="J38" s="26" t="e">
        <f>G38/168</f>
        <v>#REF!</v>
      </c>
      <c r="K38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0ED91BF541DD46AFF6EDF611210E35" ma:contentTypeVersion="9" ma:contentTypeDescription="Crear nuevo documento." ma:contentTypeScope="" ma:versionID="38ec122ab7b6abac57e0e9e23c37fe9a">
  <xsd:schema xmlns:xsd="http://www.w3.org/2001/XMLSchema" xmlns:xs="http://www.w3.org/2001/XMLSchema" xmlns:p="http://schemas.microsoft.com/office/2006/metadata/properties" xmlns:ns2="dc8109a9-b456-45ca-94cd-09bb5f798097" targetNamespace="http://schemas.microsoft.com/office/2006/metadata/properties" ma:root="true" ma:fieldsID="2d601076b444fe23294b6a1e3e028db4" ns2:_="">
    <xsd:import namespace="dc8109a9-b456-45ca-94cd-09bb5f7980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109a9-b456-45ca-94cd-09bb5f7980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2A4DD1-B419-4C59-AAE2-3132ACA6EC17}">
  <ds:schemaRefs>
    <ds:schemaRef ds:uri="dc8109a9-b456-45ca-94cd-09bb5f798097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4D32C-0D3C-4124-91AA-C3E26A81C9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B75B7E-552C-40B8-81DB-9BDECD7440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8109a9-b456-45ca-94cd-09bb5f7980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RESUMEN</vt:lpstr>
      <vt:lpstr>cuadro 1</vt:lpstr>
      <vt:lpstr>cuadro 2</vt:lpstr>
      <vt:lpstr>cuadro 3</vt:lpstr>
      <vt:lpstr>NOTIFICACION</vt:lpstr>
      <vt:lpstr>INVENTARIO FISICO</vt:lpstr>
      <vt:lpstr>CONSUMO MATERIAL DE EMPAQUE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Guzman</dc:creator>
  <cp:lastModifiedBy>Wilson M. Lozano Tovar</cp:lastModifiedBy>
  <cp:lastPrinted>2026-02-13T13:32:15Z</cp:lastPrinted>
  <dcterms:created xsi:type="dcterms:W3CDTF">2023-10-21T13:26:15Z</dcterms:created>
  <dcterms:modified xsi:type="dcterms:W3CDTF">2026-02-13T13:32:16Z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0x010100740ED91BF541DD46AFF6EDF611210E35</vt:lpwstr>
  </property>
</Properties>
</file>