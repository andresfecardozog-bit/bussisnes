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8_{046C59AA-7E53-4530-8982-4DE5618D3DAC}" xr6:coauthVersionLast="47" xr6:coauthVersionMax="47" xr10:uidLastSave="{00000000-0000-0000-0000-000000000000}"/>
  <bookViews>
    <workbookView xWindow="28680" yWindow="-795" windowWidth="29040" windowHeight="15720" activeTab="2" xr2:uid="{00000000-000D-0000-FFFF-FFFF00000000}"/>
  </bookViews>
  <sheets>
    <sheet name="Hoja1" sheetId="1" r:id="rId1"/>
    <sheet name="Hoja2" sheetId="2" r:id="rId2"/>
    <sheet name="Hoja2 (2)" sheetId="4" r:id="rId3"/>
    <sheet name="Ata" sheetId="7" r:id="rId4"/>
  </sheets>
  <externalReferences>
    <externalReference r:id="rId5"/>
    <externalReference r:id="rId6"/>
    <externalReference r:id="rId7"/>
  </externalReferences>
  <definedNames>
    <definedName name="_xlnm._FilterDatabase" localSheetId="3" hidden="1">Ata!$A$1:$K$95</definedName>
    <definedName name="_xlnm._FilterDatabase" localSheetId="0" hidden="1">Hoja1!$A$1:$F$100</definedName>
    <definedName name="_xlnm._FilterDatabase" localSheetId="1" hidden="1">Hoja2!$A$1:$C$51</definedName>
    <definedName name="_xlnm._FilterDatabase" localSheetId="2" hidden="1">'Hoja2 (2)'!$A$1:$C$49</definedName>
    <definedName name="JEFES">[1]!JEFESDIST[#All]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4" l="1"/>
  <c r="T5" i="7" l="1"/>
  <c r="T4" i="7"/>
  <c r="T3" i="7"/>
  <c r="Q18" i="4" l="1"/>
  <c r="Q21" i="4" s="1"/>
  <c r="R20" i="4" s="1"/>
  <c r="Q15" i="4"/>
  <c r="R18" i="4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F103" i="2"/>
  <c r="F104" i="2"/>
  <c r="F102" i="2"/>
  <c r="F99" i="2"/>
  <c r="F100" i="2"/>
  <c r="F1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6" i="2"/>
  <c r="F27" i="2"/>
  <c r="F28" i="2"/>
  <c r="F30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H187" i="1"/>
  <c r="H182" i="1"/>
  <c r="H193" i="1"/>
  <c r="H192" i="1"/>
  <c r="H197" i="1"/>
  <c r="G197" i="1"/>
  <c r="H196" i="1"/>
  <c r="G196" i="1"/>
  <c r="H195" i="1"/>
  <c r="G195" i="1"/>
  <c r="H194" i="1"/>
  <c r="G194" i="1"/>
  <c r="G193" i="1"/>
  <c r="G192" i="1"/>
  <c r="G191" i="1"/>
  <c r="H190" i="1"/>
  <c r="G190" i="1"/>
  <c r="H189" i="1"/>
  <c r="G189" i="1"/>
  <c r="H188" i="1"/>
  <c r="G188" i="1"/>
  <c r="G187" i="1"/>
  <c r="H186" i="1"/>
  <c r="G186" i="1"/>
  <c r="H185" i="1"/>
  <c r="G185" i="1"/>
  <c r="H184" i="1"/>
  <c r="G184" i="1"/>
  <c r="H183" i="1"/>
  <c r="G183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G104" i="1"/>
  <c r="G103" i="1"/>
  <c r="G102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G82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H82" i="1" l="1"/>
  <c r="H104" i="1"/>
  <c r="H191" i="1"/>
  <c r="H101" i="1"/>
  <c r="H81" i="1"/>
  <c r="H102" i="1"/>
  <c r="H103" i="1"/>
</calcChain>
</file>

<file path=xl/sharedStrings.xml><?xml version="1.0" encoding="utf-8"?>
<sst xmlns="http://schemas.openxmlformats.org/spreadsheetml/2006/main" count="2572" uniqueCount="531">
  <si>
    <t>iten cguno</t>
  </si>
  <si>
    <t>nombre cguno</t>
  </si>
  <si>
    <t>nombre sap</t>
  </si>
  <si>
    <t>items sap</t>
  </si>
  <si>
    <t>PRESENTACION DESCRIPCION</t>
  </si>
  <si>
    <t>TAMAÑO</t>
  </si>
  <si>
    <t>COLOR</t>
  </si>
  <si>
    <t>CAMPESINO TERMOENCOGIDO ORO X 30</t>
  </si>
  <si>
    <t>04</t>
  </si>
  <si>
    <t>ROJO</t>
  </si>
  <si>
    <t>CAMPESINO X30</t>
  </si>
  <si>
    <t>CAMPESINO X12</t>
  </si>
  <si>
    <t>HUEVO A X 30 MARCA 1</t>
  </si>
  <si>
    <t>HUEVO AX30 EKONO</t>
  </si>
  <si>
    <t>HUEVO BX30 EKONO</t>
  </si>
  <si>
    <t>05</t>
  </si>
  <si>
    <t>JUNIOR X12</t>
  </si>
  <si>
    <t>JUNIOR X 12</t>
  </si>
  <si>
    <t>JUNIOR X30</t>
  </si>
  <si>
    <t>JUNIOR X 30</t>
  </si>
  <si>
    <t>HUEVO CX30</t>
  </si>
  <si>
    <t>HUEVO ORO C X 30 AMARRADO</t>
  </si>
  <si>
    <t>06</t>
  </si>
  <si>
    <t>HUEVOS VIDA ROJO C X 30 AMARRADO</t>
  </si>
  <si>
    <t>HUEVO ROJO GRANDE ML</t>
  </si>
  <si>
    <t>HUEVO ORO ROJO GRANDE ML SUELTO</t>
  </si>
  <si>
    <t>08</t>
  </si>
  <si>
    <t>RIKO HUEVO ROJO GRANDE ML</t>
  </si>
  <si>
    <t>HUEVO ROJO MEDIANO ML</t>
  </si>
  <si>
    <t>HUEVO ORO ROJO MEDIANO ML SUELTO</t>
  </si>
  <si>
    <t>RIKO HUEVO ROJO MEDIANO ML</t>
  </si>
  <si>
    <t>HUEVO ORO TIPO PICADO SURTIDO</t>
  </si>
  <si>
    <t>09</t>
  </si>
  <si>
    <t>HUEVO ORO ROJO PICADO SUELTO</t>
  </si>
  <si>
    <t>HUEVO ROJO PICADO</t>
  </si>
  <si>
    <t>RIKO HUEVO ROJO PICADO</t>
  </si>
  <si>
    <t>HUEVO ORO ROJO TIPO A X 30 COD 27</t>
  </si>
  <si>
    <t>HUEVO ORO ROJO TIPO A X 30 COD 28</t>
  </si>
  <si>
    <t>HUEVO ORO ROJO TIPO A X 30 TERMOEN</t>
  </si>
  <si>
    <t>HUEVO ORO ROJO TIPO A X 30 TERMOENCOGIDO</t>
  </si>
  <si>
    <t>HUEVO SELENIO ORGANICO X 12 UND</t>
  </si>
  <si>
    <t>HUEVO ORO SELENIO ORGANICO X 12 UND</t>
  </si>
  <si>
    <t>07</t>
  </si>
  <si>
    <t>HUEVOS VIDA SURTIDO SELENIO ROJO X 12</t>
  </si>
  <si>
    <t>RIKO HUEVO  SURTIDO SELENIO ROJO X 12</t>
  </si>
  <si>
    <t>HUEVO SURTIMAX X 12</t>
  </si>
  <si>
    <t>HUEVO SURTIMAX X 6</t>
  </si>
  <si>
    <t>HUEVOS VIDA ROJO A X 12</t>
  </si>
  <si>
    <t>HUEVOS ORO A X 12 ESTUCHE</t>
  </si>
  <si>
    <t>RIKO HUEVO  ROJO A X 12 CAJA</t>
  </si>
  <si>
    <t>HUEVOS ORO AA X 12 ESTUCHE</t>
  </si>
  <si>
    <t>03</t>
  </si>
  <si>
    <t>HUEVOS VIDA ROJO A X 15 AMARRADO</t>
  </si>
  <si>
    <t>HUEVOS ORO A X 15 AMARRADO</t>
  </si>
  <si>
    <t>RIKO HUEVO  ROJO A X 15 AMARRADO</t>
  </si>
  <si>
    <t>HUEVOS ORO A X 15 TERMOENCOGIDO</t>
  </si>
  <si>
    <t>HUEVOS VIDA ROJO A X 15 VITAFIL</t>
  </si>
  <si>
    <t>RIKO HUEVO  ROJO A X 15 VITAFIL</t>
  </si>
  <si>
    <t>HUEVO AAX30 AMARRADO</t>
  </si>
  <si>
    <t>HUEVOS ORO A X 30 AMARRADO</t>
  </si>
  <si>
    <t>HUEVO ORO ROJO TIPO A X 30</t>
  </si>
  <si>
    <t>HUEVOS VIDA ROJO A X 30 AMARRADO</t>
  </si>
  <si>
    <t>RIKO HUEVO  ROJO A X 30 AMARRADO</t>
  </si>
  <si>
    <t>HUEVOS ORO A X 6 ESTUCHE</t>
  </si>
  <si>
    <t>HUEVOS VIDA ROJO A X 6</t>
  </si>
  <si>
    <t>RIKO HUEVO  ROJO A X 6 CAJA</t>
  </si>
  <si>
    <t>HUEVOS VIDA ROJO AA X 12</t>
  </si>
  <si>
    <t>RIKO HUEVO  ROJO AA X 12</t>
  </si>
  <si>
    <t>HUEVOS ORO AA X 15 AMARRADO</t>
  </si>
  <si>
    <t>HUEVOS VIDA ROJO AA X 15 VITAFIL</t>
  </si>
  <si>
    <t>RIKO HUEVO  ROJO AA X 15 AMARRADO</t>
  </si>
  <si>
    <t>HUEVOS ORO AA X 15 TERMOENCOGIDO</t>
  </si>
  <si>
    <t>RIKO HUEVO  ROJO AA X 15 VITAFIL</t>
  </si>
  <si>
    <t>HUEVOS ORO AA X 30 AMARRADO</t>
  </si>
  <si>
    <t>HUEVOS VIDA ROJO AA X 30 AMARRADO</t>
  </si>
  <si>
    <t>RIKO HUEVO  ROJO AA X 30 AMARRADO</t>
  </si>
  <si>
    <t>HUEVOS ORO AA X 30 TERMOENCOGIDO</t>
  </si>
  <si>
    <t>HUEVOS VIDA ROJO AA X 30 VITAFIL</t>
  </si>
  <si>
    <t>RIKO HUEVO  ROJO AA X 30 VITAFIL</t>
  </si>
  <si>
    <t>HUEVOS ORO AA X 6 ESTUCHE</t>
  </si>
  <si>
    <t>HUEVOS VIDA AA X 6</t>
  </si>
  <si>
    <t>RIKO HUEVO  ROJO AA X 6 CAJA</t>
  </si>
  <si>
    <t>HUEVOS ORO AAA X 12 ESTUCHE</t>
  </si>
  <si>
    <t>02</t>
  </si>
  <si>
    <t>HUEVOS VIDA ROJO AAA X 12</t>
  </si>
  <si>
    <t>RIKO HUEVO  ROJO AAA X 12 CAJA</t>
  </si>
  <si>
    <t>HUEVOS ORO AAA X 15 AMARRADO</t>
  </si>
  <si>
    <t>HUEVOS ORO AAA X 15 TERMOENCOGIDO</t>
  </si>
  <si>
    <t>HUEVOS VIDA ROJO AAA X 15 VITAFIL</t>
  </si>
  <si>
    <t>RIKO HUEVO  ROJO AAA X 15 VITAFIL</t>
  </si>
  <si>
    <t>HUEVOS ORO AAA X 30 AMARRADO</t>
  </si>
  <si>
    <t>HUEVOS ORO AAA X 30 TERMOENCOGIDO</t>
  </si>
  <si>
    <t>HUEVOS VIDA ROJO AAA X 30 VITAFIL</t>
  </si>
  <si>
    <t>RIKO HUEVO  ROJO AAA X 30 VITAFIL</t>
  </si>
  <si>
    <t>HUEVOS ORO AAAA X 20 TERMOENCOGIDO</t>
  </si>
  <si>
    <t>01</t>
  </si>
  <si>
    <t>HUEVOS VIDA ROJO AAAA X 20 VITAFIL</t>
  </si>
  <si>
    <t>HUEVO ORO ROJO TIPO B X 13</t>
  </si>
  <si>
    <t>HUEVOS ORO B X 15 AMARRADO</t>
  </si>
  <si>
    <t>HUEVOS VIDA ROJO B X 15 AMARRADO</t>
  </si>
  <si>
    <t>RIKO HUEVO  ROJO B X 15 AMARRADO</t>
  </si>
  <si>
    <t>HUEVOS ORO B X 30 AMARRADO</t>
  </si>
  <si>
    <t>HUEVOS VIDA ROJO B X 30 AMARRADO</t>
  </si>
  <si>
    <t>RIKO HUEVO  ROJO B X 30 AMARRADO</t>
  </si>
  <si>
    <t>HUEVO ROTO 2</t>
  </si>
  <si>
    <t>HUEVOS ORO ROTO LIMPIO X 30 LBS</t>
  </si>
  <si>
    <t>10</t>
  </si>
  <si>
    <t>HUEVO ROTO2</t>
  </si>
  <si>
    <t>HUEVO ORO ROJO TIPO AAA SUELTO</t>
  </si>
  <si>
    <t>HUEVO ORO ROJO AAA SUELTO</t>
  </si>
  <si>
    <t>HUEVO ROJO AAA</t>
  </si>
  <si>
    <t>RIKO HUEVO ROJO AAA</t>
  </si>
  <si>
    <t>HUEVO ORO ROJO TIPO JUMBO SUELTO</t>
  </si>
  <si>
    <t>HUEVO ORO ROJO AAAA SUELTO</t>
  </si>
  <si>
    <t>HUEVO ROJO AAAA</t>
  </si>
  <si>
    <t>RIKO HUEVO ROJO AAAA</t>
  </si>
  <si>
    <t>HUEVO ORO ROJO TIPO B SUELTO</t>
  </si>
  <si>
    <t>HUEVO ORO ROJO B SUELTO</t>
  </si>
  <si>
    <t>HUEVO ROJO B</t>
  </si>
  <si>
    <t>RIKO HUEVO ROJO B</t>
  </si>
  <si>
    <t>HUEVO ORO ROJO TIPO C SUELTO</t>
  </si>
  <si>
    <t>HUEVO ORO ROJO C SUELTO</t>
  </si>
  <si>
    <t>HUEVO ROJO C</t>
  </si>
  <si>
    <t>RIKO HUEVO ROJO C</t>
  </si>
  <si>
    <t>HUEVO ROJO A</t>
  </si>
  <si>
    <t>HUEVOS ORO ROJO A SUELTO</t>
  </si>
  <si>
    <t>HUEVOS ORO ROJO TIPO A SUELTO</t>
  </si>
  <si>
    <t>RIKO HUEVO ROJO A</t>
  </si>
  <si>
    <t>HUEVO ROJO AA</t>
  </si>
  <si>
    <t>HUEVOS ORO ROJO AA SUELTO</t>
  </si>
  <si>
    <t>HUEVOS ORO ROJO TIPO AA SUELTO</t>
  </si>
  <si>
    <t>RIKO HUEVO ROJO AA</t>
  </si>
  <si>
    <t>HUEVO ORO S/CLASIFICAR</t>
  </si>
  <si>
    <t>HUEVO ORO ROJO SIN CLASIFICAR</t>
  </si>
  <si>
    <t>HUEVO ROJO SIN CLASIFICAR</t>
  </si>
  <si>
    <t>HUEVO ROJO SUCIO SIN CLASIFICAR</t>
  </si>
  <si>
    <t>HUEVOS VIDA ROJO A X 30 VITAFIL</t>
  </si>
  <si>
    <t>30  TERMOENCOGIDO</t>
  </si>
  <si>
    <t>A</t>
  </si>
  <si>
    <t>AX12</t>
  </si>
  <si>
    <t>12  EMPACADO</t>
  </si>
  <si>
    <t>HUEVOS ORO AAA X 6 ESTUCHE</t>
  </si>
  <si>
    <t>6  EMPACADO</t>
  </si>
  <si>
    <t>AAA</t>
  </si>
  <si>
    <t>CAJA STA X 18 GALLINA HUEVOS DE ORO</t>
  </si>
  <si>
    <t>18  EMPACADO</t>
  </si>
  <si>
    <t>HUEVO ORO ROJO TIPO D SUELTO</t>
  </si>
  <si>
    <t>1  SUELTO</t>
  </si>
  <si>
    <t>D</t>
  </si>
  <si>
    <t>HUEVO ROJO D</t>
  </si>
  <si>
    <t>RIKO HUEVO ROJO D</t>
  </si>
  <si>
    <t>HUEVOS ORO ROJO A + BD</t>
  </si>
  <si>
    <t>JUNIOR X 12 ESTUCHE</t>
  </si>
  <si>
    <t>JUNIOR X 15</t>
  </si>
  <si>
    <t>JUNIOR X 15 TAPA</t>
  </si>
  <si>
    <t>JUNIOR X 30 TAPA</t>
  </si>
  <si>
    <t>HUEVOS ORO A X 45 AMARRADO</t>
  </si>
  <si>
    <t>HUEVOS ORO A CJ X 360</t>
  </si>
  <si>
    <t>COLSUBSIDIO A X12 CJ X 360</t>
  </si>
  <si>
    <t>HUEVO A X 12 EKONO AMARRADO</t>
  </si>
  <si>
    <t>COLSUBSIDIO A X15 AMARRADO CJ X 360</t>
  </si>
  <si>
    <t>HUEVOS MAXIMA A X 30</t>
  </si>
  <si>
    <t>COLSUB A X 30 TERMOENCO CJ X 360</t>
  </si>
  <si>
    <t>COLSUBSIDIO A X 30 AMARRADO</t>
  </si>
  <si>
    <t>HUEVOS ORO ROJO AA +BD</t>
  </si>
  <si>
    <t>CAMPESINO TERMOENCOGIDO ORO X 15 TAPA</t>
  </si>
  <si>
    <t>HUEVOS ORO AA X 45 AMARRADO</t>
  </si>
  <si>
    <t>HUEVOS ORO AA AMARRADO X 60</t>
  </si>
  <si>
    <t>COLSUBSIDIO AA X 12 CJ X 360</t>
  </si>
  <si>
    <t>COLSUB AA X 30 TERMOENCO CJ X 360</t>
  </si>
  <si>
    <t xml:space="preserve">HUEVOS ORO PLUS AAA X 30    </t>
  </si>
  <si>
    <t>HUEVO ORO CEREALES X 12 UND</t>
  </si>
  <si>
    <t>HUEVO ORO KOSHER X 12 UND</t>
  </si>
  <si>
    <t>HUEVO ORO OMEGA X 12 UND</t>
  </si>
  <si>
    <t>HUEVO ORO VEGETARIANO X 12 UND</t>
  </si>
  <si>
    <t>HUEVOS ORO DHA X 12 UND</t>
  </si>
  <si>
    <t>HUEVOS ORO PLUS X 20</t>
  </si>
  <si>
    <t>HUEVOS ORO ROJO B + BD</t>
  </si>
  <si>
    <t>HUEVO ORO INDUSTRIAL CASCARON</t>
  </si>
  <si>
    <t>HUEVO ORO ROJO SURTIDO</t>
  </si>
  <si>
    <t>HUEVOS ORO ROTO SUCIO</t>
  </si>
  <si>
    <t>HUEVOS ORO ROTO LIMPIO X 12 LBS</t>
  </si>
  <si>
    <t>HUEVO ORO ROTO LIMPIO</t>
  </si>
  <si>
    <t>GALLINAZA</t>
  </si>
  <si>
    <t>VENTA DE AVES</t>
  </si>
  <si>
    <t>POLLINAZA</t>
  </si>
  <si>
    <t>SUPER PRECIO AMARRADO TIPO A X 30</t>
  </si>
  <si>
    <t>AAAA</t>
  </si>
  <si>
    <t>HUEVO ORO ROJO TIPO AA SUELTO</t>
  </si>
  <si>
    <t>AA</t>
  </si>
  <si>
    <t>HUEVO ORO ROJO TIPO AA X 6</t>
  </si>
  <si>
    <t>HUEVO ORO ROJO TIPO AA X 12</t>
  </si>
  <si>
    <t>HUEVO ORO ROJO TIPO AA X 15</t>
  </si>
  <si>
    <t>15  AMARRADO</t>
  </si>
  <si>
    <t>HUEVO ORO ROJO TIPO AA X 30</t>
  </si>
  <si>
    <t>30  AMARRADO</t>
  </si>
  <si>
    <t>HUEVO ORO ROJO TIPO A SUELTO</t>
  </si>
  <si>
    <t>HUEVO ORO ROJO TIPO A X 6</t>
  </si>
  <si>
    <t>HUEVO ORO ROJO TIPO A X 12</t>
  </si>
  <si>
    <t>HUEVO ORO ROJO TIPO A X 15</t>
  </si>
  <si>
    <t>HUEVO ORO ROJO TIPO A X 30 TERMO</t>
  </si>
  <si>
    <t>B</t>
  </si>
  <si>
    <t>HUEVO ORO ROJO TIPO B X 30</t>
  </si>
  <si>
    <t>C</t>
  </si>
  <si>
    <t>PICADO</t>
  </si>
  <si>
    <t>HUEVO S/CLASIFICAR</t>
  </si>
  <si>
    <t>SURTIDO</t>
  </si>
  <si>
    <t>HUEVO FRESCO SURTIDO</t>
  </si>
  <si>
    <t>HUEVO ORO A X 30 COD 28</t>
  </si>
  <si>
    <t>HUEVO AX30 MARCA 1</t>
  </si>
  <si>
    <t>HUEVOS DE LA GALLINA DE ORO</t>
  </si>
  <si>
    <t>HUEVO ORO ROJO TIPO A X 30 COD. 27</t>
  </si>
  <si>
    <t>HUEVO BX15</t>
  </si>
  <si>
    <t>HUEVO CAMPESINO X 30 UND</t>
  </si>
  <si>
    <t>HUEVO DESPIGMENTADO</t>
  </si>
  <si>
    <t>HUEVO ROSADO AA X 30 M. CARREFOUR</t>
  </si>
  <si>
    <t>CODIGO</t>
  </si>
  <si>
    <t>MATERIAL</t>
  </si>
  <si>
    <t>UND</t>
  </si>
  <si>
    <t>Columna1</t>
  </si>
  <si>
    <t>Columna2</t>
  </si>
  <si>
    <t>EAN</t>
  </si>
  <si>
    <t>Columna3</t>
  </si>
  <si>
    <t>Columna4</t>
  </si>
  <si>
    <t>Huevo AA</t>
  </si>
  <si>
    <t>CAMPESINO TERMOENCOGIDO ORO X 30 CENEFA</t>
  </si>
  <si>
    <t>Huevo A</t>
  </si>
  <si>
    <t>Huevo C</t>
  </si>
  <si>
    <t>Huevo Sucio</t>
  </si>
  <si>
    <t>Huevo Picado</t>
  </si>
  <si>
    <t>Huevo Selenio</t>
  </si>
  <si>
    <t>Huevo AAA</t>
  </si>
  <si>
    <t>Huevo AAAA</t>
  </si>
  <si>
    <t>Huevo B</t>
  </si>
  <si>
    <t>Yema</t>
  </si>
  <si>
    <t>CAMPESINO TERMOENCOGIDO ORO X 15 CENEFA</t>
  </si>
  <si>
    <t>HUEVOS ORO B X 30 TERMOENCOGIDO</t>
  </si>
  <si>
    <t>12</t>
  </si>
  <si>
    <t>Huevo Cereales</t>
  </si>
  <si>
    <t>13</t>
  </si>
  <si>
    <t>Huevo Kosher</t>
  </si>
  <si>
    <t>15</t>
  </si>
  <si>
    <t>Huevo Vegetariano</t>
  </si>
  <si>
    <t>16</t>
  </si>
  <si>
    <t>Huevo DHA</t>
  </si>
  <si>
    <t>HUEVOS ORO B X 60 AMARRADO</t>
  </si>
  <si>
    <t>HUEVO AX30 FRESCAMPO</t>
  </si>
  <si>
    <t>HUEVOS ORO A X 60 AMARRADO</t>
  </si>
  <si>
    <t>HUEVOS ORO PLUS AAA X 12 ESTUCHE</t>
  </si>
  <si>
    <t>HUEVOS ORO PLUS AAA X 15</t>
  </si>
  <si>
    <t>HUEVOS ORO AAA X 45 ZUNCHADO</t>
  </si>
  <si>
    <t>TAEQ  AA X 15  ESTUCHE</t>
  </si>
  <si>
    <t>CAMPESINO TERMOENCOGIDO ORO X 60</t>
  </si>
  <si>
    <t>HUEVO ORO KOSHER X 30 UND</t>
  </si>
  <si>
    <t>CAMPESINO X 6</t>
  </si>
  <si>
    <t>HUEVOS ORO PLUS AA X 30</t>
  </si>
  <si>
    <t>HUEVOS ORO AA PLUS CRISTAL X 15</t>
  </si>
  <si>
    <t>HUEVOS ORO A X 10 AMARRADO</t>
  </si>
  <si>
    <t>HUEVOS ORO A X 12 AMARRADO</t>
  </si>
  <si>
    <t>HUEVOS ORO ROJO A INDUSTRIA</t>
  </si>
  <si>
    <t>HUEVOS ORO ROJO AA INDUSTRIA</t>
  </si>
  <si>
    <t>HUEVO ORO ROJO AAA INDUSTRIA</t>
  </si>
  <si>
    <t>HUEVO ORO ROJO AAAA INDUSTRIA</t>
  </si>
  <si>
    <t>HUEVO ORO ROJO B INDUSTRIA</t>
  </si>
  <si>
    <t>HUEVO ORO ROJO C INDUSTRIA</t>
  </si>
  <si>
    <t>TIPO</t>
  </si>
  <si>
    <t>clase</t>
  </si>
  <si>
    <t>Tipo 1</t>
  </si>
  <si>
    <t>FLASH</t>
  </si>
  <si>
    <t>Tipo 2</t>
  </si>
  <si>
    <t>Tipo 3</t>
  </si>
  <si>
    <t>Tipo 4</t>
  </si>
  <si>
    <t>A X 30 MARCA 1</t>
  </si>
  <si>
    <t>AMARRADO</t>
  </si>
  <si>
    <t>MARCAS PROPIAS</t>
  </si>
  <si>
    <t>AX30 EKONO</t>
  </si>
  <si>
    <t>BX30 EKONO</t>
  </si>
  <si>
    <t>C X 30 AMARRADO</t>
  </si>
  <si>
    <t>MARCA ORO</t>
  </si>
  <si>
    <t>HUEVOS ORO</t>
  </si>
  <si>
    <t>A X 30 COD 28</t>
  </si>
  <si>
    <t>A X 15 AMARRADO</t>
  </si>
  <si>
    <t>A X 30 AMARRADO</t>
  </si>
  <si>
    <t>AA X 15 AMARRADO</t>
  </si>
  <si>
    <t>AA X 30 AMARRADO</t>
  </si>
  <si>
    <t>AAA X 15 AMARRADO</t>
  </si>
  <si>
    <t>AAA X 30 AMARRADO</t>
  </si>
  <si>
    <t>B X 15 AMARRADO</t>
  </si>
  <si>
    <t>B X 30 AMARRADO</t>
  </si>
  <si>
    <t>MAXIMA A X 30</t>
  </si>
  <si>
    <t>AA X 45 AMARRADO</t>
  </si>
  <si>
    <t>A X 45 AMARRADO</t>
  </si>
  <si>
    <t>AA AMARRADO X 60</t>
  </si>
  <si>
    <t>SUPER PRECIO AMARRADO A X 30</t>
  </si>
  <si>
    <t>B X 60 AMARRADO</t>
  </si>
  <si>
    <t>AX30 FRESCAMPO</t>
  </si>
  <si>
    <t>A X 60 AMARRADO</t>
  </si>
  <si>
    <t>AAA X 45 ZUNCHADO</t>
  </si>
  <si>
    <t>A X 10 AMARRADO</t>
  </si>
  <si>
    <t>A X 12 AMARRADO</t>
  </si>
  <si>
    <t>AA X 180 AMARRADO</t>
  </si>
  <si>
    <t>ESTUCHERIA</t>
  </si>
  <si>
    <t>CAMPESINO</t>
  </si>
  <si>
    <t>EMPACADO</t>
  </si>
  <si>
    <t>JUNIOR</t>
  </si>
  <si>
    <t>SELENIO ORGANICO X 12 UND</t>
  </si>
  <si>
    <t>AA-A</t>
  </si>
  <si>
    <t>SELENIO</t>
  </si>
  <si>
    <t>SURTIMAX X 12</t>
  </si>
  <si>
    <t>SURTIMAX X 6</t>
  </si>
  <si>
    <t>A X 12 ESTUCHE</t>
  </si>
  <si>
    <t>A X 6 ESTUCHE</t>
  </si>
  <si>
    <t>AA X 12 ESTUCHE</t>
  </si>
  <si>
    <t>AA X 6 ESTUCHE</t>
  </si>
  <si>
    <t>AAA X 12 ESTUCHE</t>
  </si>
  <si>
    <t>CEREALES X 12 UND</t>
  </si>
  <si>
    <t>CEREALES</t>
  </si>
  <si>
    <t>KOSHER X 12 UND</t>
  </si>
  <si>
    <t>KOSHER</t>
  </si>
  <si>
    <t>OMEGA X 12 UND</t>
  </si>
  <si>
    <t>OMEGA</t>
  </si>
  <si>
    <t>VEGETARIANO X 12 UND</t>
  </si>
  <si>
    <t>VEGETARIANO</t>
  </si>
  <si>
    <t>DHA X 12 UND</t>
  </si>
  <si>
    <t>DHA</t>
  </si>
  <si>
    <t>A X 12 EKONO AMARRADO</t>
  </si>
  <si>
    <t>PLUS AAA X 12 ESTUCHE</t>
  </si>
  <si>
    <t>PLUS</t>
  </si>
  <si>
    <t>AA PLUS CRISTAL X 15</t>
  </si>
  <si>
    <t>MERKADO AA LIBRES DE JAULA X 20</t>
  </si>
  <si>
    <t>TAEQ AA LIBRES DE JAULA CRISTAL X 30</t>
  </si>
  <si>
    <t>GRANDE ML SUELTO</t>
  </si>
  <si>
    <t>SUELTO</t>
  </si>
  <si>
    <t>SUCIO</t>
  </si>
  <si>
    <t>MEDIANO ML SUELTO</t>
  </si>
  <si>
    <t>PICADO SUELTO</t>
  </si>
  <si>
    <t>A + BD</t>
  </si>
  <si>
    <t>AA +BD</t>
  </si>
  <si>
    <t>B + BD</t>
  </si>
  <si>
    <t>AAA SUELTO</t>
  </si>
  <si>
    <t>AAAA SUELTO</t>
  </si>
  <si>
    <t>B SUELTO</t>
  </si>
  <si>
    <t>C SUELTO</t>
  </si>
  <si>
    <t>A SUELTO</t>
  </si>
  <si>
    <t>AA SUELTO</t>
  </si>
  <si>
    <t>A INDUSTRIA</t>
  </si>
  <si>
    <t>AA INDUSTRIA</t>
  </si>
  <si>
    <t>AAA INDUSTRIA</t>
  </si>
  <si>
    <t>AAAA INDUSTRIA</t>
  </si>
  <si>
    <t>B INDUSTRIA</t>
  </si>
  <si>
    <t>C INDUSTRIA</t>
  </si>
  <si>
    <t>TERMOENCOGIDO</t>
  </si>
  <si>
    <t>SOLAPA</t>
  </si>
  <si>
    <t>A X 30 TERMOENCOGIDO</t>
  </si>
  <si>
    <t>CENEFA</t>
  </si>
  <si>
    <t>A X 15 TERMOENCOGIDO</t>
  </si>
  <si>
    <t>AA X 15 TERMOENCOGIDO</t>
  </si>
  <si>
    <t>AA X 30 TERMOENCOGIDO</t>
  </si>
  <si>
    <t>AAA X 15 TERMOENCOGIDO</t>
  </si>
  <si>
    <t>AAA X 30 TERMOENCOGIDO</t>
  </si>
  <si>
    <t>AAAA X 20 TERMOENCOGIDO</t>
  </si>
  <si>
    <t>PLUS X 20</t>
  </si>
  <si>
    <t>PLUS AAA X 30</t>
  </si>
  <si>
    <t>PLUS AAA X 15</t>
  </si>
  <si>
    <t>KOSHER X 30 UND</t>
  </si>
  <si>
    <t>PLUS AA X 30</t>
  </si>
  <si>
    <t>CAMPESINO TERMOENCOGIDO ORO A X 30</t>
  </si>
  <si>
    <t>ROTO LIMPIO X 30 LBS</t>
  </si>
  <si>
    <t>YEMA</t>
  </si>
  <si>
    <t>ROTO LIMPIO X 12 LBS</t>
  </si>
  <si>
    <t>ROTO LIMPIO</t>
  </si>
  <si>
    <t>A X 180 AMARRADO</t>
  </si>
  <si>
    <t>AX30 AMARRADO PACK- 8 UND</t>
  </si>
  <si>
    <t>AAX30 AMARRADO PACK-8 UND</t>
  </si>
  <si>
    <t>AA X12 ESTUCHE PACK-24 UND</t>
  </si>
  <si>
    <t>CAMPESINO ORO AA X30 PACK-10 UND</t>
  </si>
  <si>
    <t>CODIGO SAP</t>
  </si>
  <si>
    <t xml:space="preserve"> AAA ROJO X12 PET VIGOR</t>
  </si>
  <si>
    <t>Campesino</t>
  </si>
  <si>
    <t xml:space="preserve"> AA ROJO X12 PET VIGOR</t>
  </si>
  <si>
    <t xml:space="preserve"> AA/A ROJO X 18 LIBRE JAULA VIGOR</t>
  </si>
  <si>
    <t xml:space="preserve"> AA ROJO X 30 TERMOENCO LIBRE JAULA VIGOR</t>
  </si>
  <si>
    <t>Junior</t>
  </si>
  <si>
    <t>HUEVOS ORO AAA SUELTO ATA</t>
  </si>
  <si>
    <t xml:space="preserve"> AAA ROJO X 30 AMARRADO</t>
  </si>
  <si>
    <t>Sucio</t>
  </si>
  <si>
    <t xml:space="preserve"> AA ROJO X 30 TERMOENCOGIDO VIGOR</t>
  </si>
  <si>
    <t>Picado</t>
  </si>
  <si>
    <t xml:space="preserve"> HUEVO AA TRAD ROJO TERMFORM VIGOR  30 UN</t>
  </si>
  <si>
    <t>Selenio</t>
  </si>
  <si>
    <t xml:space="preserve"> HUEVO AA LIBJAU ROJO TRMFO VIGOR 30 UN</t>
  </si>
  <si>
    <t xml:space="preserve"> A ROJO AMARRADO X 60 M&amp;C</t>
  </si>
  <si>
    <t xml:space="preserve"> AAA ROJO X 12 PET VIGOR</t>
  </si>
  <si>
    <t xml:space="preserve">11035I </t>
  </si>
  <si>
    <t xml:space="preserve"> AA ROJO X 12 PET VIGOR</t>
  </si>
  <si>
    <t>Cereales</t>
  </si>
  <si>
    <t xml:space="preserve">11036I </t>
  </si>
  <si>
    <t>Kosher</t>
  </si>
  <si>
    <t xml:space="preserve"> A ROJO X 30 TERMOENCOGIDO VIGOR</t>
  </si>
  <si>
    <t>Omega</t>
  </si>
  <si>
    <t xml:space="preserve"> A ROJO X30 TERMOENCOGIDO VIGOR</t>
  </si>
  <si>
    <t>Vegetariano</t>
  </si>
  <si>
    <t xml:space="preserve"> A ROJO X 15 AMARRADO VIGOR</t>
  </si>
  <si>
    <t>Plus</t>
  </si>
  <si>
    <t xml:space="preserve"> AAA ROJO X 30 AMARRADO ARO</t>
  </si>
  <si>
    <t xml:space="preserve"> AA ROJO X 12 PULPA</t>
  </si>
  <si>
    <t xml:space="preserve"> A ROJO X 30 AMARRADO M&amp;C</t>
  </si>
  <si>
    <t xml:space="preserve"> AA ROJO X 30 AMARRADO ARO</t>
  </si>
  <si>
    <t xml:space="preserve"> B ROJO X 30 AMARRADO M&amp;C</t>
  </si>
  <si>
    <t xml:space="preserve"> A ROJO X 6 PULPA</t>
  </si>
  <si>
    <t xml:space="preserve"> A ROJO X 12 PULPA</t>
  </si>
  <si>
    <t xml:space="preserve"> A ROJO X 30 AMARRADO</t>
  </si>
  <si>
    <t>HUEVOS ORO AA SUELTO ATA</t>
  </si>
  <si>
    <t>HUEVOS ORO A SUELTO ATA</t>
  </si>
  <si>
    <t xml:space="preserve"> AA ROJO X 30 AMARRADO</t>
  </si>
  <si>
    <t xml:space="preserve"> B ROJO X 30  AMARRADO</t>
  </si>
  <si>
    <t xml:space="preserve"> A ROJO X 30 AMARRADO VIGOR</t>
  </si>
  <si>
    <t xml:space="preserve"> A ROJO X 30 AMARRADO FRESCAMPO</t>
  </si>
  <si>
    <t xml:space="preserve"> AAA ROJO X 30 AMARRADO VIGOR</t>
  </si>
  <si>
    <t xml:space="preserve"> AA ROJO X 30 AMARRADO VIGOR</t>
  </si>
  <si>
    <t xml:space="preserve"> B ROJO X 30 AMARRADO VIGOR</t>
  </si>
  <si>
    <t xml:space="preserve"> AA ROJO X 12 PULPA VIGOR</t>
  </si>
  <si>
    <t xml:space="preserve"> A ROJO X 12 PULPA VIGOR</t>
  </si>
  <si>
    <t xml:space="preserve"> AA ROJO X 6 PULPA VIGOR</t>
  </si>
  <si>
    <t xml:space="preserve"> A ROJO X 6 PULPA VIGOR</t>
  </si>
  <si>
    <t>HUEVOS ORO AAAA SUELTO ATA</t>
  </si>
  <si>
    <t xml:space="preserve"> J ROJO X 30 AMARRADO</t>
  </si>
  <si>
    <t>HUEVOS ORO B SUELTO ATA</t>
  </si>
  <si>
    <t xml:space="preserve"> AA ROJO  X30</t>
  </si>
  <si>
    <t xml:space="preserve"> AAA ROJO  X30</t>
  </si>
  <si>
    <t xml:space="preserve"> J ROJO X 30</t>
  </si>
  <si>
    <t>HUEVOS ORO S/GRANDE SUELTO ATA</t>
  </si>
  <si>
    <t xml:space="preserve"> SU ROJO</t>
  </si>
  <si>
    <t xml:space="preserve"> C ROJO VIGOR</t>
  </si>
  <si>
    <t xml:space="preserve"> AAA ROJO VIGOR</t>
  </si>
  <si>
    <t xml:space="preserve"> J ROJO VIGOR</t>
  </si>
  <si>
    <t xml:space="preserve"> AA ROJO VIGOR</t>
  </si>
  <si>
    <t xml:space="preserve"> A ROJO VIGOR</t>
  </si>
  <si>
    <t xml:space="preserve"> B ROJO VIGOR</t>
  </si>
  <si>
    <t xml:space="preserve"> AA ROJO X 30 AMARRADO SOL NACIENTE</t>
  </si>
  <si>
    <t xml:space="preserve"> A ROJO X 30 AMARRADO SOL NACIENTE</t>
  </si>
  <si>
    <t xml:space="preserve"> AA ROJO X 12 PULPA SOL NACIENTE</t>
  </si>
  <si>
    <t xml:space="preserve"> HLIQ ENTER 5%SALHES007CON10% CGFR C/TNQ</t>
  </si>
  <si>
    <t xml:space="preserve"> HUEVO ENT.ENRIQ.HESS015 CON 10% CAGE FRE</t>
  </si>
  <si>
    <t xml:space="preserve"> HE001 20 KL HUEVO ENTERO PASTEURIZADO</t>
  </si>
  <si>
    <t xml:space="preserve"> HE001 200 KL HUEVO ENTERO PASTEURIZADO</t>
  </si>
  <si>
    <t xml:space="preserve"> HE  001 X 14 KLS</t>
  </si>
  <si>
    <t xml:space="preserve"> HUEVO ENTERO ENRIQ. HEES015  952100 KL</t>
  </si>
  <si>
    <t xml:space="preserve"> HUEVO ENTERO 5 % SAL HES007  957943 KL</t>
  </si>
  <si>
    <t xml:space="preserve"> CL P 20 KL CLARA PASTEURIZADA</t>
  </si>
  <si>
    <t xml:space="preserve"> CL P 200 KL CLARA PASTEURIZADA</t>
  </si>
  <si>
    <t xml:space="preserve"> Y001 1 KL YEMA PASTEURIZADA</t>
  </si>
  <si>
    <t xml:space="preserve"> HL 70% +  30% CAGE FREE</t>
  </si>
  <si>
    <t xml:space="preserve"> H LIQ 60%+40% CAGE FREE BOLSA ATA 20 KG</t>
  </si>
  <si>
    <t xml:space="preserve"> HLIQ ENTE 5% SAL HES007 100% LIBJA CTANQ</t>
  </si>
  <si>
    <t xml:space="preserve"> HLIQ ENTE 5% SAL HES007 100% LIBJA BINES</t>
  </si>
  <si>
    <t xml:space="preserve"> HLIQENRIQ 5%SAL HEES015 100% LIBJA BNES</t>
  </si>
  <si>
    <t xml:space="preserve"> ROTO ROJO</t>
  </si>
  <si>
    <t xml:space="preserve"> AA ROJO X 15 AMARRADO VIGOR</t>
  </si>
  <si>
    <t xml:space="preserve"> HUEV A LIBJAU RJO SODEXO BDJ VIGOR 30 UN</t>
  </si>
  <si>
    <t xml:space="preserve"> HUEV B LIJAU RJO SODEXO BDJ VIGOR  30 UN</t>
  </si>
  <si>
    <t xml:space="preserve"> HE001 4KL HUEVO ENTERO PASTEURIZADO</t>
  </si>
  <si>
    <t xml:space="preserve"> HLIQ ENTER 70%+30% CAGFREE BOLSA ATA 4KG</t>
  </si>
  <si>
    <t xml:space="preserve"> B ROJO  X 30</t>
  </si>
  <si>
    <t xml:space="preserve"> C ROJO X 30 AMARRADO</t>
  </si>
  <si>
    <t>11898I</t>
  </si>
  <si>
    <t>AA ROJO X 30 AMARRADO VIGOR</t>
  </si>
  <si>
    <t>HUEVO CASCARA AAA ROJO TRMFO ARO X 30UND</t>
  </si>
  <si>
    <t>11082I</t>
  </si>
  <si>
    <t>AA ROJO VIGOR</t>
  </si>
  <si>
    <t>11080I</t>
  </si>
  <si>
    <t>AAA ROJO VIGOR</t>
  </si>
  <si>
    <t>11896I</t>
  </si>
  <si>
    <t>B ROJO VIGOR</t>
  </si>
  <si>
    <t>11083I</t>
  </si>
  <si>
    <t>A ROJO VIGOR</t>
  </si>
  <si>
    <t>11877I</t>
  </si>
  <si>
    <t>AA ROJO X 30 TERMOENCOGIDO VIGOR</t>
  </si>
  <si>
    <t>11036I</t>
  </si>
  <si>
    <t>AA ROJO X 12 PET VIGOR</t>
  </si>
  <si>
    <t>11035I</t>
  </si>
  <si>
    <t>AAA ROJO X 12 PET VIGOR</t>
  </si>
  <si>
    <t>11063I</t>
  </si>
  <si>
    <t>A ROJO X 30 AMARRADO</t>
  </si>
  <si>
    <t>ESTUCHE</t>
  </si>
  <si>
    <t>PASTER</t>
  </si>
  <si>
    <t>300 huevos x caja</t>
  </si>
  <si>
    <t>Clase</t>
  </si>
  <si>
    <t>AA/A</t>
  </si>
  <si>
    <t>MARCA ATA</t>
  </si>
  <si>
    <t>Macro</t>
  </si>
  <si>
    <t>HLIQ</t>
  </si>
  <si>
    <t>S00018</t>
  </si>
  <si>
    <t>REINTEGRO COSTOS Y GASTOS 19% RTE 3.5%</t>
  </si>
  <si>
    <t>ABONO ORGANICO 4 MM - MIN 70% TRIPLEORGA</t>
  </si>
  <si>
    <t>S00012</t>
  </si>
  <si>
    <t>VENTA VEHICULOS</t>
  </si>
  <si>
    <t>SOYA,TORTA</t>
  </si>
  <si>
    <t>11004I</t>
  </si>
  <si>
    <t>SC ROJO</t>
  </si>
  <si>
    <t>GALLINAZA SANITIZADA EMPACADA</t>
  </si>
  <si>
    <t>GALLINAZA SANITIZADA A GRANEL</t>
  </si>
  <si>
    <t>S00003</t>
  </si>
  <si>
    <t>GALLINA COMERCIAL</t>
  </si>
  <si>
    <t>BANDEJA CARTON DE 30</t>
  </si>
  <si>
    <t>S00054</t>
  </si>
  <si>
    <t>GALLINA DE LEVANTE</t>
  </si>
  <si>
    <t>S00058</t>
  </si>
  <si>
    <t>DESCUENTOS EN VENTA HUEVO LIQUIDO</t>
  </si>
  <si>
    <t>C.PONEDORA X-I IND H. A092</t>
  </si>
  <si>
    <t>OTRAS VENTAS</t>
  </si>
  <si>
    <t>HLIQ ENTE 65%+35% CAGFREE BOLSA ATA 20KG</t>
  </si>
  <si>
    <t>SC ROJO CAGE FREE</t>
  </si>
  <si>
    <t>11005I</t>
  </si>
  <si>
    <t>11033I</t>
  </si>
  <si>
    <t>11050I</t>
  </si>
  <si>
    <t>11081I</t>
  </si>
  <si>
    <t>AA ROJO X 60 AMARRADO VIGOR</t>
  </si>
  <si>
    <t>11897I</t>
  </si>
  <si>
    <t>AAA ROJO X 30 AMARRADO VIGOR</t>
  </si>
  <si>
    <t>11899I</t>
  </si>
  <si>
    <t>B ROJO X 30 AMARRADO VIGOR</t>
  </si>
  <si>
    <t>AAA ROJO TRMFO ARO X 30UND O</t>
  </si>
  <si>
    <t>HUEVOS A X 30 AMARRADO OLIMPICA</t>
  </si>
  <si>
    <t>HUEVOS B X 30 AMARRADO OLIMPICA</t>
  </si>
  <si>
    <t>A ROJO X 30 AMARRADO M&amp;C O</t>
  </si>
  <si>
    <t xml:space="preserve"> AA ROJO X 30 AMARRADO ARO O</t>
  </si>
  <si>
    <t>B ROJO X 30 AMARRADO M&amp;C O</t>
  </si>
  <si>
    <t>A ROJO AMARRADO X 60 M&amp;C O</t>
  </si>
  <si>
    <t>HUEVOS ORO PLUS AA X 18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</si>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</sst>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7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vertical="top"/>
    </xf>
    <xf numFmtId="3" fontId="0" fillId="0" borderId="0" xfId="0" applyNumberFormat="1"/>
    <xf numFmtId="0" fontId="2" fillId="0" borderId="0" xfId="0" applyFont="1" applyAlignment="1">
      <alignment vertical="top"/>
    </xf>
    <xf numFmtId="0" fontId="0" fillId="3" borderId="1" xfId="0" applyFill="1" applyBorder="1" applyAlignment="1">
      <alignment vertical="top"/>
    </xf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2" borderId="0" xfId="0" applyFill="1"/>
    <xf numFmtId="165" fontId="1" fillId="2" borderId="0" xfId="0" applyNumberFormat="1" applyFont="1" applyFill="1"/>
    <xf numFmtId="0" fontId="4" fillId="0" borderId="0" xfId="0" applyFont="1" applyAlignment="1">
      <alignment vertical="top"/>
    </xf>
    <xf numFmtId="0" fontId="5" fillId="4" borderId="2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 wrapText="1"/>
    </xf>
    <xf numFmtId="0" fontId="0" fillId="0" borderId="6" xfId="0" applyBorder="1"/>
    <xf numFmtId="0" fontId="6" fillId="0" borderId="0" xfId="0" applyFont="1"/>
    <xf numFmtId="0" fontId="0" fillId="6" borderId="1" xfId="0" applyFill="1" applyBorder="1"/>
    <xf numFmtId="0" fontId="0" fillId="6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6" borderId="7" xfId="0" applyFont="1" applyFill="1" applyBorder="1"/>
    <xf numFmtId="0" fontId="2" fillId="6" borderId="3" xfId="0" applyFont="1" applyFill="1" applyBorder="1"/>
    <xf numFmtId="0" fontId="2" fillId="6" borderId="1" xfId="0" applyFont="1" applyFill="1" applyBorder="1" applyAlignment="1">
      <alignment vertical="top"/>
    </xf>
    <xf numFmtId="0" fontId="7" fillId="6" borderId="3" xfId="0" applyFont="1" applyFill="1" applyBorder="1"/>
    <xf numFmtId="0" fontId="7" fillId="6" borderId="8" xfId="0" applyFont="1" applyFill="1" applyBorder="1"/>
    <xf numFmtId="0" fontId="7" fillId="6" borderId="0" xfId="0" applyFont="1" applyFill="1"/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/>
    <xf numFmtId="0" fontId="0" fillId="3" borderId="0" xfId="0" applyFill="1"/>
    <xf numFmtId="0" fontId="0" fillId="0" borderId="8" xfId="0" applyBorder="1"/>
    <xf numFmtId="1" fontId="0" fillId="0" borderId="0" xfId="0" applyNumberFormat="1"/>
    <xf numFmtId="1" fontId="0" fillId="3" borderId="1" xfId="0" applyNumberFormat="1" applyFill="1" applyBorder="1" applyAlignment="1">
      <alignment vertical="top"/>
    </xf>
    <xf numFmtId="1" fontId="7" fillId="6" borderId="3" xfId="0" applyNumberFormat="1" applyFont="1" applyFill="1" applyBorder="1"/>
    <xf numFmtId="1" fontId="8" fillId="0" borderId="9" xfId="0" applyNumberFormat="1" applyFont="1" applyBorder="1"/>
    <xf numFmtId="0" fontId="5" fillId="0" borderId="0" xfId="0" applyFont="1" applyAlignment="1">
      <alignment vertical="top"/>
    </xf>
    <xf numFmtId="0" fontId="10" fillId="0" borderId="0" xfId="0" applyFont="1" applyAlignment="1">
      <alignment vertical="top"/>
    </xf>
    <xf numFmtId="9" fontId="0" fillId="0" borderId="0" xfId="2" applyFont="1"/>
    <xf numFmtId="0" fontId="0" fillId="0" borderId="2" xfId="0" applyBorder="1"/>
    <xf numFmtId="0" fontId="0" fillId="0" borderId="4" xfId="0" applyBorder="1"/>
    <xf numFmtId="0" fontId="2" fillId="0" borderId="0" xfId="0" applyFont="1"/>
    <xf numFmtId="0" fontId="4" fillId="0" borderId="0" xfId="0" applyFont="1"/>
    <xf numFmtId="0" fontId="11" fillId="7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NUTRIAVICOLA%20S.A\VENTAS%20-%20Documentos\2.%20FLASH%20DE%20VENTAS%20POWER%20BI\Bases.xlsx" TargetMode="External"/><Relationship Id="rId1" Type="http://schemas.openxmlformats.org/officeDocument/2006/relationships/externalLinkPath" Target="file:///C:\DATA\NUTRIAVICOLA%20S.A\VENTAS%20-%20Documentos\2.%20FLASH%20DE%20VENTAS%20POWER%20BI\Bas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listabi\Downloads\CORTE%20BOG.xlsm" TargetMode="External"/><Relationship Id="rId1" Type="http://schemas.openxmlformats.org/officeDocument/2006/relationships/externalLinkPath" Target="file:///C:\Users\analistabi\Downloads\CORTE%20BOG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correa\AppData\Local\Microsoft\Windows\INetCache\Content.Outlook\H3N8UDWV\VENTAS%20MOV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O"/>
      <sheetName val="CENTRO"/>
      <sheetName val="CANAL"/>
      <sheetName val="GRUPO "/>
      <sheetName val="DEVO"/>
      <sheetName val="JEFES DIS"/>
      <sheetName val="EJCUTIVOS"/>
      <sheetName val="MINIMERCADOS"/>
      <sheetName val="TAT"/>
      <sheetName val="Ba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 sap nutri"/>
      <sheetName val="cod EAN COMPLETAR"/>
      <sheetName val="RUTA DIA CEN"/>
      <sheetName val="Facturar"/>
      <sheetName val="CIUDAD"/>
      <sheetName val="Hoja1"/>
      <sheetName val="Corte"/>
      <sheetName val="Resumen produccion"/>
      <sheetName val="Inv SAP"/>
      <sheetName val="Ordenes"/>
      <sheetName val="BD Cod Huevos"/>
      <sheetName val="BD Cod Huevos (2)"/>
      <sheetName val="Hoja5"/>
      <sheetName val="Zona Vendedor"/>
      <sheetName val="Código Nutri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CODIGO</v>
          </cell>
          <cell r="F1" t="str">
            <v>pretenece</v>
          </cell>
        </row>
        <row r="2">
          <cell r="A2">
            <v>30020</v>
          </cell>
          <cell r="F2" t="str">
            <v>MARCAS PROPIAS</v>
          </cell>
        </row>
        <row r="3">
          <cell r="A3">
            <v>30021</v>
          </cell>
          <cell r="F3" t="str">
            <v>MARCAS PROPIAS</v>
          </cell>
        </row>
        <row r="4">
          <cell r="A4">
            <v>30022</v>
          </cell>
          <cell r="F4" t="str">
            <v>MARCAS PROPIAS</v>
          </cell>
        </row>
        <row r="5">
          <cell r="A5">
            <v>30025</v>
          </cell>
          <cell r="F5" t="str">
            <v>HUEVOS ORO</v>
          </cell>
        </row>
        <row r="6">
          <cell r="A6">
            <v>30030</v>
          </cell>
          <cell r="F6" t="str">
            <v>HUEVOS ORO</v>
          </cell>
        </row>
        <row r="7">
          <cell r="A7">
            <v>30038</v>
          </cell>
          <cell r="F7" t="str">
            <v>HUEVOS ORO</v>
          </cell>
        </row>
        <row r="8">
          <cell r="A8">
            <v>30040</v>
          </cell>
          <cell r="F8" t="str">
            <v>HUEVOS ORO</v>
          </cell>
        </row>
        <row r="9">
          <cell r="A9">
            <v>30044</v>
          </cell>
          <cell r="F9" t="str">
            <v>HUEVOS ORO</v>
          </cell>
        </row>
        <row r="10">
          <cell r="A10">
            <v>30046</v>
          </cell>
          <cell r="F10" t="str">
            <v>HUEVOS ORO</v>
          </cell>
        </row>
        <row r="11">
          <cell r="A11">
            <v>30050</v>
          </cell>
          <cell r="F11" t="str">
            <v>HUEVOS ORO</v>
          </cell>
        </row>
        <row r="12">
          <cell r="A12">
            <v>30052</v>
          </cell>
          <cell r="F12" t="str">
            <v>HUEVOS ORO</v>
          </cell>
        </row>
        <row r="13">
          <cell r="A13">
            <v>30055</v>
          </cell>
          <cell r="F13" t="str">
            <v>HUEVOS ORO</v>
          </cell>
        </row>
        <row r="14">
          <cell r="A14">
            <v>30056</v>
          </cell>
          <cell r="F14" t="str">
            <v>HUEVOS ORO</v>
          </cell>
        </row>
        <row r="15">
          <cell r="A15">
            <v>40092</v>
          </cell>
          <cell r="F15" t="str">
            <v>MARCAS PROPIAS</v>
          </cell>
        </row>
        <row r="16">
          <cell r="A16">
            <v>40112</v>
          </cell>
          <cell r="F16" t="str">
            <v>HUEVOS ORO</v>
          </cell>
        </row>
        <row r="17">
          <cell r="A17">
            <v>40190</v>
          </cell>
          <cell r="F17" t="str">
            <v>HUEVOS ORO</v>
          </cell>
        </row>
        <row r="18">
          <cell r="A18">
            <v>40241</v>
          </cell>
          <cell r="F18" t="str">
            <v>MARCAS PROPIAS</v>
          </cell>
        </row>
        <row r="19">
          <cell r="A19">
            <v>40242</v>
          </cell>
          <cell r="F19" t="str">
            <v>MARCAS PROPIAS</v>
          </cell>
        </row>
        <row r="20">
          <cell r="A20">
            <v>40327</v>
          </cell>
          <cell r="F20" t="str">
            <v>HUEVOS ORO</v>
          </cell>
        </row>
        <row r="21">
          <cell r="A21">
            <v>40404</v>
          </cell>
          <cell r="F21" t="str">
            <v>MARCAS PROPIAS</v>
          </cell>
        </row>
        <row r="22">
          <cell r="A22">
            <v>40434</v>
          </cell>
          <cell r="F22" t="str">
            <v>HUEVOS ORO</v>
          </cell>
        </row>
        <row r="23">
          <cell r="A23">
            <v>40457</v>
          </cell>
          <cell r="F23" t="str">
            <v>MARCAS PROPIAS</v>
          </cell>
        </row>
        <row r="24">
          <cell r="A24">
            <v>40463</v>
          </cell>
          <cell r="F24" t="str">
            <v>HUEVOS ORO</v>
          </cell>
        </row>
        <row r="25">
          <cell r="A25">
            <v>40484</v>
          </cell>
          <cell r="F25" t="str">
            <v>HUEVOS ORO</v>
          </cell>
        </row>
        <row r="26">
          <cell r="A26">
            <v>40572</v>
          </cell>
          <cell r="F26" t="str">
            <v>HUEVOS ORO</v>
          </cell>
        </row>
        <row r="27">
          <cell r="A27">
            <v>40589</v>
          </cell>
          <cell r="F27" t="str">
            <v>HUEVOS ORO</v>
          </cell>
        </row>
        <row r="28">
          <cell r="A28">
            <v>40637</v>
          </cell>
          <cell r="F28" t="str">
            <v>HUEVOS ORO</v>
          </cell>
        </row>
        <row r="29">
          <cell r="A29">
            <v>30019</v>
          </cell>
          <cell r="F29" t="str">
            <v>CAMPESINO</v>
          </cell>
        </row>
        <row r="30">
          <cell r="A30">
            <v>30023</v>
          </cell>
          <cell r="F30" t="str">
            <v>JUNIOR</v>
          </cell>
        </row>
        <row r="31">
          <cell r="A31">
            <v>30032</v>
          </cell>
          <cell r="F31" t="str">
            <v>SELENIO</v>
          </cell>
        </row>
        <row r="32">
          <cell r="A32">
            <v>30034</v>
          </cell>
          <cell r="F32" t="str">
            <v>MARCAS PROPIAS</v>
          </cell>
        </row>
        <row r="33">
          <cell r="A33">
            <v>30035</v>
          </cell>
          <cell r="F33" t="str">
            <v>MARCAS PROPIAS</v>
          </cell>
        </row>
        <row r="34">
          <cell r="A34">
            <v>30037</v>
          </cell>
          <cell r="F34" t="str">
            <v>HUEVOS ORO</v>
          </cell>
        </row>
        <row r="35">
          <cell r="A35">
            <v>30041</v>
          </cell>
          <cell r="F35" t="str">
            <v>HUEVOS ORO</v>
          </cell>
        </row>
        <row r="36">
          <cell r="A36">
            <v>30043</v>
          </cell>
          <cell r="F36" t="str">
            <v>HUEVOS ORO</v>
          </cell>
        </row>
        <row r="37">
          <cell r="A37">
            <v>30048</v>
          </cell>
          <cell r="F37" t="str">
            <v>HUEVOS ORO</v>
          </cell>
        </row>
        <row r="38">
          <cell r="A38">
            <v>30049</v>
          </cell>
          <cell r="F38" t="str">
            <v>HUEVOS ORO</v>
          </cell>
        </row>
        <row r="39">
          <cell r="A39">
            <v>40134</v>
          </cell>
          <cell r="F39" t="str">
            <v>CEREALES</v>
          </cell>
        </row>
        <row r="40">
          <cell r="A40">
            <v>40135</v>
          </cell>
          <cell r="F40" t="str">
            <v>KOSHER</v>
          </cell>
        </row>
        <row r="41">
          <cell r="A41">
            <v>40136</v>
          </cell>
          <cell r="F41" t="str">
            <v>OMEGA</v>
          </cell>
        </row>
        <row r="42">
          <cell r="A42">
            <v>40137</v>
          </cell>
          <cell r="F42" t="str">
            <v>VEGETARIANO</v>
          </cell>
        </row>
        <row r="43">
          <cell r="A43">
            <v>40235</v>
          </cell>
          <cell r="F43" t="str">
            <v>MARCAS PROPIAS</v>
          </cell>
        </row>
        <row r="44">
          <cell r="A44">
            <v>40237</v>
          </cell>
          <cell r="F44" t="str">
            <v>MARCAS PROPIAS</v>
          </cell>
        </row>
        <row r="45">
          <cell r="A45">
            <v>40254</v>
          </cell>
          <cell r="F45" t="str">
            <v>DHA</v>
          </cell>
        </row>
        <row r="46">
          <cell r="A46">
            <v>40271</v>
          </cell>
          <cell r="F46" t="str">
            <v>MARCAS PROPIAS</v>
          </cell>
        </row>
        <row r="47">
          <cell r="A47">
            <v>40475</v>
          </cell>
          <cell r="F47" t="str">
            <v>PLUS</v>
          </cell>
        </row>
        <row r="48">
          <cell r="A48">
            <v>40515</v>
          </cell>
          <cell r="F48" t="str">
            <v>MARCAS PROPIAS</v>
          </cell>
        </row>
        <row r="49">
          <cell r="A49">
            <v>40536</v>
          </cell>
          <cell r="F49" t="str">
            <v>CAMPESINO</v>
          </cell>
        </row>
        <row r="50">
          <cell r="A50">
            <v>40538</v>
          </cell>
          <cell r="F50" t="str">
            <v>PLUS</v>
          </cell>
        </row>
        <row r="51">
          <cell r="A51">
            <v>40638</v>
          </cell>
          <cell r="F51" t="str">
            <v>MARCAS PROPIAS</v>
          </cell>
        </row>
        <row r="52">
          <cell r="A52">
            <v>40654</v>
          </cell>
          <cell r="F52" t="str">
            <v>MARCAS PROPIAS</v>
          </cell>
        </row>
        <row r="53">
          <cell r="A53">
            <v>30026</v>
          </cell>
          <cell r="F53" t="str">
            <v>HUEVOS ORO</v>
          </cell>
        </row>
        <row r="54">
          <cell r="A54">
            <v>30027</v>
          </cell>
          <cell r="F54" t="str">
            <v>HUEVOS ORO</v>
          </cell>
        </row>
        <row r="55">
          <cell r="A55">
            <v>30028</v>
          </cell>
          <cell r="F55" t="str">
            <v>HUEVOS ORO</v>
          </cell>
        </row>
        <row r="56">
          <cell r="A56">
            <v>30033</v>
          </cell>
          <cell r="F56" t="str">
            <v>HUEVOS ORO</v>
          </cell>
        </row>
        <row r="57">
          <cell r="A57">
            <v>30057</v>
          </cell>
          <cell r="F57" t="str">
            <v>HUEVOS ORO</v>
          </cell>
        </row>
        <row r="58">
          <cell r="A58">
            <v>30058</v>
          </cell>
          <cell r="F58" t="str">
            <v>HUEVOS ORO</v>
          </cell>
        </row>
        <row r="59">
          <cell r="A59">
            <v>30059</v>
          </cell>
          <cell r="F59" t="str">
            <v>HUEVOS ORO</v>
          </cell>
        </row>
        <row r="60">
          <cell r="A60">
            <v>40002</v>
          </cell>
          <cell r="F60" t="str">
            <v>HUEVOS ORO</v>
          </cell>
        </row>
        <row r="61">
          <cell r="A61">
            <v>40003</v>
          </cell>
          <cell r="F61" t="str">
            <v>HUEVOS ORO</v>
          </cell>
        </row>
        <row r="62">
          <cell r="A62">
            <v>40004</v>
          </cell>
          <cell r="F62" t="str">
            <v>HUEVOS ORO</v>
          </cell>
        </row>
        <row r="63">
          <cell r="A63">
            <v>40005</v>
          </cell>
          <cell r="F63" t="str">
            <v>HUEVOS ORO</v>
          </cell>
        </row>
        <row r="64">
          <cell r="A64">
            <v>40007</v>
          </cell>
          <cell r="F64" t="str">
            <v>HUEVOS ORO</v>
          </cell>
        </row>
        <row r="65">
          <cell r="A65">
            <v>40008</v>
          </cell>
          <cell r="F65" t="str">
            <v>HUEVOS ORO</v>
          </cell>
        </row>
        <row r="66">
          <cell r="A66">
            <v>40025</v>
          </cell>
          <cell r="F66" t="str">
            <v>HUEVOS ORO</v>
          </cell>
        </row>
        <row r="67">
          <cell r="A67">
            <v>40174</v>
          </cell>
          <cell r="F67" t="str">
            <v>HUEVOS ORO</v>
          </cell>
        </row>
        <row r="68">
          <cell r="A68">
            <v>40601</v>
          </cell>
          <cell r="F68" t="str">
            <v>HUEVOS ORO</v>
          </cell>
        </row>
        <row r="69">
          <cell r="A69">
            <v>40602</v>
          </cell>
          <cell r="F69" t="str">
            <v>HUEVOS ORO</v>
          </cell>
        </row>
        <row r="70">
          <cell r="A70">
            <v>40603</v>
          </cell>
          <cell r="F70" t="str">
            <v>HUEVOS ORO</v>
          </cell>
        </row>
        <row r="71">
          <cell r="A71">
            <v>40604</v>
          </cell>
          <cell r="F71" t="str">
            <v>HUEVOS ORO</v>
          </cell>
        </row>
        <row r="72">
          <cell r="A72">
            <v>40605</v>
          </cell>
          <cell r="F72" t="str">
            <v>HUEVOS ORO</v>
          </cell>
        </row>
        <row r="73">
          <cell r="A73">
            <v>40606</v>
          </cell>
          <cell r="F73" t="str">
            <v>HUEVOS ORO</v>
          </cell>
        </row>
        <row r="74">
          <cell r="A74">
            <v>30018</v>
          </cell>
          <cell r="F74" t="str">
            <v>CAMPESINO</v>
          </cell>
        </row>
        <row r="75">
          <cell r="A75">
            <v>30024</v>
          </cell>
          <cell r="F75" t="str">
            <v>JUNIOR</v>
          </cell>
        </row>
        <row r="76">
          <cell r="A76">
            <v>30031</v>
          </cell>
          <cell r="F76" t="str">
            <v>HUEVOS ORO</v>
          </cell>
        </row>
        <row r="77">
          <cell r="A77">
            <v>30039</v>
          </cell>
          <cell r="F77" t="str">
            <v>HUEVOS ORO</v>
          </cell>
        </row>
        <row r="78">
          <cell r="A78">
            <v>30045</v>
          </cell>
          <cell r="F78" t="str">
            <v>HUEVOS ORO</v>
          </cell>
        </row>
        <row r="79">
          <cell r="A79">
            <v>30047</v>
          </cell>
          <cell r="F79" t="str">
            <v>HUEVOS ORO</v>
          </cell>
        </row>
        <row r="80">
          <cell r="A80">
            <v>30051</v>
          </cell>
          <cell r="F80" t="str">
            <v>HUEVOS ORO</v>
          </cell>
        </row>
        <row r="81">
          <cell r="A81">
            <v>30053</v>
          </cell>
          <cell r="F81" t="str">
            <v>HUEVOS ORO</v>
          </cell>
        </row>
        <row r="82">
          <cell r="A82">
            <v>30054</v>
          </cell>
          <cell r="F82" t="str">
            <v>HUEVOS ORO</v>
          </cell>
        </row>
        <row r="83">
          <cell r="A83">
            <v>40105</v>
          </cell>
          <cell r="F83" t="str">
            <v>CAMPESINO</v>
          </cell>
        </row>
        <row r="84">
          <cell r="A84">
            <v>40107</v>
          </cell>
          <cell r="F84" t="str">
            <v>JUNIOR</v>
          </cell>
        </row>
        <row r="85">
          <cell r="A85">
            <v>40205</v>
          </cell>
          <cell r="F85" t="str">
            <v>PLUS</v>
          </cell>
        </row>
        <row r="86">
          <cell r="A86">
            <v>40239</v>
          </cell>
          <cell r="F86" t="str">
            <v>MARCAS PROPIAS</v>
          </cell>
        </row>
        <row r="87">
          <cell r="A87">
            <v>40240</v>
          </cell>
          <cell r="F87" t="str">
            <v>MARCAS PROPIAS</v>
          </cell>
        </row>
        <row r="88">
          <cell r="A88">
            <v>40265</v>
          </cell>
          <cell r="F88" t="str">
            <v>PLUS</v>
          </cell>
        </row>
        <row r="89">
          <cell r="A89">
            <v>40477</v>
          </cell>
          <cell r="F89" t="str">
            <v>PLUS</v>
          </cell>
        </row>
        <row r="90">
          <cell r="A90">
            <v>40525</v>
          </cell>
          <cell r="F90" t="str">
            <v>CAMPESINO</v>
          </cell>
        </row>
        <row r="91">
          <cell r="A91">
            <v>40526</v>
          </cell>
          <cell r="F91" t="str">
            <v>KOSHER</v>
          </cell>
        </row>
        <row r="92">
          <cell r="A92">
            <v>40537</v>
          </cell>
          <cell r="F92" t="str">
            <v>PLUS</v>
          </cell>
        </row>
        <row r="93">
          <cell r="A93">
            <v>40668</v>
          </cell>
          <cell r="F93" t="str">
            <v>CAMPESINO</v>
          </cell>
        </row>
        <row r="94">
          <cell r="A94">
            <v>30060</v>
          </cell>
          <cell r="F94" t="str">
            <v>HUEVOS ORO</v>
          </cell>
        </row>
        <row r="95">
          <cell r="A95">
            <v>30061</v>
          </cell>
          <cell r="F95" t="str">
            <v>HUEVOS ORO</v>
          </cell>
        </row>
        <row r="96">
          <cell r="A96">
            <v>40006</v>
          </cell>
          <cell r="F96" t="str">
            <v>HUEVOS ORO</v>
          </cell>
        </row>
        <row r="97">
          <cell r="A97">
            <v>40674</v>
          </cell>
          <cell r="F97" t="str">
            <v>HUEVOS ORO</v>
          </cell>
        </row>
        <row r="98">
          <cell r="A98">
            <v>40695</v>
          </cell>
          <cell r="F98" t="str">
            <v>HUEVOS ORO</v>
          </cell>
        </row>
        <row r="99">
          <cell r="A99">
            <v>40697</v>
          </cell>
          <cell r="F99" t="str">
            <v>HUEVOS ORO</v>
          </cell>
        </row>
        <row r="100">
          <cell r="A100">
            <v>40694</v>
          </cell>
          <cell r="F100" t="str">
            <v>HUEVOS ORO</v>
          </cell>
        </row>
        <row r="101">
          <cell r="A101">
            <v>40698</v>
          </cell>
          <cell r="F101" t="str">
            <v>CAMPESINO</v>
          </cell>
        </row>
        <row r="102">
          <cell r="A102">
            <v>40833</v>
          </cell>
          <cell r="F102" t="str">
            <v>MARCAS PROPIAS</v>
          </cell>
        </row>
        <row r="103">
          <cell r="A103">
            <v>40789</v>
          </cell>
          <cell r="F103" t="str">
            <v>MARCAS PROPIAS</v>
          </cell>
        </row>
        <row r="104">
          <cell r="A104">
            <v>40790</v>
          </cell>
          <cell r="F104" t="str">
            <v>MARCAS PROPIAS</v>
          </cell>
        </row>
        <row r="105">
          <cell r="A105">
            <v>40830</v>
          </cell>
          <cell r="F105" t="str">
            <v>OLIMPICA</v>
          </cell>
        </row>
        <row r="106">
          <cell r="A106">
            <v>40831</v>
          </cell>
          <cell r="F106" t="str">
            <v>MARCAS PROPIAS</v>
          </cell>
        </row>
        <row r="107">
          <cell r="A107">
            <v>40832</v>
          </cell>
          <cell r="F107" t="str">
            <v>MARCAS PROPIAS</v>
          </cell>
        </row>
        <row r="108">
          <cell r="A108">
            <v>40829</v>
          </cell>
          <cell r="F108" t="str">
            <v>MARCAS PROPIAS</v>
          </cell>
        </row>
        <row r="109">
          <cell r="A109">
            <v>40803</v>
          </cell>
          <cell r="F109" t="str">
            <v>PLUS</v>
          </cell>
        </row>
        <row r="110">
          <cell r="A110">
            <v>30029</v>
          </cell>
          <cell r="F110" t="str">
            <v>HUEVOS ORO</v>
          </cell>
        </row>
        <row r="111">
          <cell r="A111">
            <v>40109</v>
          </cell>
          <cell r="F111" t="str">
            <v>HUEVOS ORO</v>
          </cell>
        </row>
        <row r="112">
          <cell r="A112">
            <v>30036</v>
          </cell>
          <cell r="F112" t="str">
            <v>HUEVOS ORO</v>
          </cell>
        </row>
        <row r="113">
          <cell r="A113">
            <v>10000</v>
          </cell>
          <cell r="F113" t="str">
            <v>HUEVOS ORO</v>
          </cell>
        </row>
        <row r="114">
          <cell r="A114">
            <v>30120</v>
          </cell>
          <cell r="F114" t="str">
            <v>HUEVOS ORO</v>
          </cell>
        </row>
        <row r="115">
          <cell r="A115">
            <v>30067</v>
          </cell>
          <cell r="F115" t="str">
            <v>HUEVOS ORO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Clientes"/>
      <sheetName val="Catalogos"/>
      <sheetName val="RelacionarCatalogo-Clientes"/>
      <sheetName val="Zonas"/>
      <sheetName val="Clientes"/>
      <sheetName val="Productos"/>
      <sheetName val="CompetenciaMarca"/>
      <sheetName val="Competencias"/>
      <sheetName val="ProductList"/>
      <sheetName val="RuteroVendedores"/>
      <sheetName val="Usu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*EAN</v>
          </cell>
          <cell r="B1" t="str">
            <v>*Nombre Producto</v>
          </cell>
        </row>
        <row r="2">
          <cell r="A2">
            <v>7702349030375</v>
          </cell>
          <cell r="B2" t="str">
            <v>CAMPESINO TERMOENCOGIDO ORO X 30</v>
          </cell>
        </row>
        <row r="3">
          <cell r="A3">
            <v>7702349030597</v>
          </cell>
          <cell r="B3" t="str">
            <v>CAMPESINO X12</v>
          </cell>
        </row>
        <row r="4">
          <cell r="A4">
            <v>7701001079042</v>
          </cell>
          <cell r="B4" t="str">
            <v>HUEVO AX30 EKONO</v>
          </cell>
        </row>
        <row r="5">
          <cell r="A5">
            <v>7701001079059</v>
          </cell>
          <cell r="B5" t="str">
            <v>HUEVO BX30 EKONO</v>
          </cell>
        </row>
        <row r="6">
          <cell r="A6">
            <v>7702349030566</v>
          </cell>
          <cell r="B6" t="str">
            <v>JUNIOR X 12</v>
          </cell>
        </row>
        <row r="7">
          <cell r="A7">
            <v>7702349030580</v>
          </cell>
          <cell r="B7" t="str">
            <v>JUNIOR X 30</v>
          </cell>
        </row>
        <row r="8">
          <cell r="A8">
            <v>7702349024558</v>
          </cell>
          <cell r="B8" t="str">
            <v>HUEVO ORO ROJO TIPO A X 30 TERMOENCOGIDO</v>
          </cell>
        </row>
        <row r="9">
          <cell r="A9">
            <v>7702349030351</v>
          </cell>
          <cell r="B9" t="str">
            <v>HUEVO ORO SELENIO ORGANICO X 12 UND</v>
          </cell>
        </row>
        <row r="10">
          <cell r="A10">
            <v>7701001086392</v>
          </cell>
          <cell r="B10" t="str">
            <v>HUEVO SURTIMAX X 12</v>
          </cell>
        </row>
        <row r="11">
          <cell r="A11">
            <v>7701001086385</v>
          </cell>
          <cell r="B11" t="str">
            <v>HUEVO SURTIMAX X 6</v>
          </cell>
        </row>
        <row r="12">
          <cell r="A12">
            <v>7702349024343</v>
          </cell>
          <cell r="B12" t="str">
            <v>HUEVOS ORO A X 12 ESTUCHE</v>
          </cell>
        </row>
        <row r="13">
          <cell r="A13">
            <v>7702349024527</v>
          </cell>
          <cell r="B13" t="str">
            <v>HUEVOS ORO A X 30 AMARRADO</v>
          </cell>
        </row>
        <row r="14">
          <cell r="A14">
            <v>7702349024237</v>
          </cell>
          <cell r="B14" t="str">
            <v>HUEVOS ORO A X 6 ESTUCHE</v>
          </cell>
        </row>
        <row r="15">
          <cell r="A15">
            <v>7702349043344</v>
          </cell>
          <cell r="B15" t="str">
            <v>HUEVOS ORO AA X 12 ESTUCHE</v>
          </cell>
        </row>
        <row r="16">
          <cell r="A16">
            <v>7702349023445</v>
          </cell>
          <cell r="B16" t="str">
            <v>HUEVOS ORO AA X 15 AMARRADO</v>
          </cell>
        </row>
        <row r="17">
          <cell r="A17">
            <v>7702349085207</v>
          </cell>
          <cell r="B17" t="str">
            <v>HUEVOS ORO AA X 30 AMARRADO</v>
          </cell>
        </row>
        <row r="18">
          <cell r="A18">
            <v>7702349023551</v>
          </cell>
          <cell r="B18" t="str">
            <v>HUEVOS ORO AA X 30 TERMOENCOGIDO</v>
          </cell>
        </row>
        <row r="19">
          <cell r="A19">
            <v>7702349022929</v>
          </cell>
          <cell r="B19" t="str">
            <v>HUEVOS ORO AA X 6 ESTUCHE</v>
          </cell>
        </row>
        <row r="20">
          <cell r="A20">
            <v>7702349029621</v>
          </cell>
          <cell r="B20" t="str">
            <v>HUEVOS ORO AAA X 12 ESTUCHE</v>
          </cell>
        </row>
        <row r="21">
          <cell r="A21">
            <v>7702349031310</v>
          </cell>
          <cell r="B21" t="str">
            <v>HUEVOS ORO AAA X 15 AMARRADO</v>
          </cell>
        </row>
        <row r="22">
          <cell r="A22">
            <v>7702349029614</v>
          </cell>
          <cell r="B22" t="str">
            <v>HUEVOS ORO AAA X 15 TERMOENCOGIDO</v>
          </cell>
        </row>
        <row r="23">
          <cell r="A23">
            <v>7702349031488</v>
          </cell>
          <cell r="B23" t="str">
            <v>HUEVOS ORO AAA X 30 AMARRADO</v>
          </cell>
        </row>
        <row r="24">
          <cell r="A24">
            <v>7702349029607</v>
          </cell>
          <cell r="B24" t="str">
            <v>HUEVOS ORO AAA X 30 TERMOENCOGIDO</v>
          </cell>
        </row>
        <row r="25">
          <cell r="A25">
            <v>7702349028556</v>
          </cell>
          <cell r="B25" t="str">
            <v>HUEVOS ORO B X 30 AMARRADO</v>
          </cell>
        </row>
        <row r="26">
          <cell r="A26">
            <v>7703616077222</v>
          </cell>
          <cell r="B26" t="str">
            <v>HUEVOS MAXIMA A X 30</v>
          </cell>
        </row>
        <row r="27">
          <cell r="A27">
            <v>7702349030368</v>
          </cell>
          <cell r="B27" t="str">
            <v>CAMPESINO TERMOENCOGIDO ORO X 15 TAPA</v>
          </cell>
        </row>
        <row r="28">
          <cell r="A28">
            <v>7702349030573</v>
          </cell>
          <cell r="B28" t="str">
            <v>JUNIOR X 15</v>
          </cell>
        </row>
        <row r="29">
          <cell r="A29">
            <v>7702349026842</v>
          </cell>
          <cell r="B29" t="str">
            <v>HUEVOS ORO AA X 45 AMARRADO</v>
          </cell>
        </row>
        <row r="30">
          <cell r="A30">
            <v>7702349024350</v>
          </cell>
          <cell r="B30" t="str">
            <v>HUEVO ORO CEREALES X 12 UND</v>
          </cell>
        </row>
        <row r="31">
          <cell r="A31">
            <v>7702349024367</v>
          </cell>
          <cell r="B31" t="str">
            <v>HUEVO ORO KOSHER X 12 UND</v>
          </cell>
        </row>
        <row r="32">
          <cell r="A32">
            <v>7702349024381</v>
          </cell>
          <cell r="B32" t="str">
            <v>HUEVO ORO VEGETARIANO X 12 UND</v>
          </cell>
        </row>
        <row r="33">
          <cell r="A33">
            <v>7702349025692</v>
          </cell>
          <cell r="B33" t="str">
            <v>HUEVOS ORO PLUS X 20</v>
          </cell>
        </row>
        <row r="34">
          <cell r="A34">
            <v>7701009131018</v>
          </cell>
          <cell r="B34" t="str">
            <v>COLSUBSIDIO A X12 CJ X 360</v>
          </cell>
        </row>
        <row r="35">
          <cell r="A35">
            <v>7701009131025</v>
          </cell>
          <cell r="B35" t="str">
            <v>COLSUBSIDIO AA X 12 CJ X 360</v>
          </cell>
        </row>
        <row r="36">
          <cell r="A36">
            <v>7701009130998</v>
          </cell>
          <cell r="B36" t="str">
            <v>COLSUB AA X 30 TERMOENCO CJ X 360</v>
          </cell>
        </row>
        <row r="37">
          <cell r="A37">
            <v>7701009131001</v>
          </cell>
          <cell r="B37" t="str">
            <v>COLSUB A X 30 TERMOENCO CJ X 360</v>
          </cell>
        </row>
        <row r="38">
          <cell r="A38">
            <v>7701009130981</v>
          </cell>
          <cell r="B38" t="str">
            <v>COLSUBSIDIO A X15 AMARRADO CJ X 360</v>
          </cell>
        </row>
        <row r="39">
          <cell r="A39">
            <v>7701009130974</v>
          </cell>
          <cell r="B39" t="str">
            <v>COLSUBSIDIO A X 30 AMARRADO</v>
          </cell>
        </row>
        <row r="40">
          <cell r="A40">
            <v>7702349030917</v>
          </cell>
          <cell r="B40" t="str">
            <v>HUEVOS ORO DHA X 12 UND</v>
          </cell>
        </row>
        <row r="41">
          <cell r="A41">
            <v>7702349031013</v>
          </cell>
          <cell r="B41" t="str">
            <v xml:space="preserve">HUEVOS ORO PLUS AAA X 30    </v>
          </cell>
        </row>
        <row r="42">
          <cell r="A42">
            <v>7702349025685</v>
          </cell>
          <cell r="B42" t="str">
            <v>HUEVOS ORO AA AMARRADO X 60</v>
          </cell>
        </row>
        <row r="43">
          <cell r="A43">
            <v>7701009146258</v>
          </cell>
          <cell r="B43" t="str">
            <v>SUPER PRECIO AMARRADO TIPO A X 30</v>
          </cell>
        </row>
        <row r="44">
          <cell r="A44">
            <v>7702349025807</v>
          </cell>
          <cell r="B44" t="str">
            <v>HUEVOS ORO B X 60 AMARRADO</v>
          </cell>
        </row>
        <row r="45">
          <cell r="A45">
            <v>7701001729749</v>
          </cell>
          <cell r="B45" t="str">
            <v>HUEVO AX30 FRESCAMPO</v>
          </cell>
        </row>
        <row r="46">
          <cell r="A46">
            <v>7702349025906</v>
          </cell>
          <cell r="B46" t="str">
            <v>HUEVOS ORO A X 60 AMARRADO</v>
          </cell>
        </row>
        <row r="47">
          <cell r="A47">
            <v>7702349035080</v>
          </cell>
          <cell r="B47" t="str">
            <v>HUEVOS ORO PLUS AAA X 12 ESTUCHE  </v>
          </cell>
        </row>
        <row r="48">
          <cell r="A48">
            <v>7702349037268</v>
          </cell>
          <cell r="B48" t="str">
            <v>HUEVOS ORO PLUS AAA X 15</v>
          </cell>
        </row>
        <row r="49">
          <cell r="A49">
            <v>7702349197986</v>
          </cell>
          <cell r="B49" t="str">
            <v>HUEVOS ORO AAA X 45 ZUNCHADO</v>
          </cell>
        </row>
        <row r="50">
          <cell r="A50">
            <v>7702349139511</v>
          </cell>
          <cell r="B50" t="str">
            <v>CAMPESINO TERMOENCOGIDO ORO X 60</v>
          </cell>
        </row>
        <row r="51">
          <cell r="A51">
            <v>7702349945822</v>
          </cell>
          <cell r="B51" t="str">
            <v>HUEVO ORO KOSHER X 30 UND</v>
          </cell>
        </row>
        <row r="52">
          <cell r="A52">
            <v>7702349979353</v>
          </cell>
          <cell r="B52" t="str">
            <v>CAMPESINO X 6</v>
          </cell>
        </row>
        <row r="53">
          <cell r="A53">
            <v>7702349898449</v>
          </cell>
          <cell r="B53" t="str">
            <v>HUEVOS ORO PLUS AA X 30</v>
          </cell>
        </row>
        <row r="54">
          <cell r="A54">
            <v>7702349006295</v>
          </cell>
          <cell r="B54" t="str">
            <v>HUEVOS ORO AA PLUS CRISTAL X 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1:H104" totalsRowShown="0">
  <autoFilter ref="A1:H104" xr:uid="{00000000-0009-0000-0100-000004000000}"/>
  <tableColumns count="8">
    <tableColumn id="1" xr3:uid="{00000000-0010-0000-0000-000001000000}" name="CODIGO"/>
    <tableColumn id="2" xr3:uid="{00000000-0010-0000-0000-000002000000}" name="MATERIAL"/>
    <tableColumn id="3" xr3:uid="{00000000-0010-0000-0000-000003000000}" name="UND"/>
    <tableColumn id="4" xr3:uid="{00000000-0010-0000-0000-000004000000}" name="Columna1" dataDxfId="12"/>
    <tableColumn id="5" xr3:uid="{00000000-0010-0000-0000-000005000000}" name="Columna2" dataDxfId="11"/>
    <tableColumn id="6" xr3:uid="{280F2DD8-13FA-40C2-88BE-D1D213F26B69}" name="EAN" dataDxfId="10">
      <calculatedColumnFormula>_xlfn.XLOOKUP(Tabla4[[#This Row],[MATERIAL]],[3]Productos!$B:$B,[3]Productos!$A:$A)</calculatedColumnFormula>
    </tableColumn>
    <tableColumn id="7" xr3:uid="{BCB29641-047F-4C21-A86E-5AB9DD54AC3E}" name="Columna3"/>
    <tableColumn id="8" xr3:uid="{F2E181FD-7614-4920-8FE1-84DD6BA0A0A8}" name="Columna4" dataDxfId="9">
      <calculatedColumnFormula>LEFT(Tabla4[[#This Row],[MATERIAL]],18)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42" displayName="Tabla42" ref="A1:J115" totalsRowShown="0">
  <autoFilter ref="A1:J115" xr:uid="{00000000-0009-0000-0100-000001000000}"/>
  <tableColumns count="10">
    <tableColumn id="1" xr3:uid="{00000000-0010-0000-0100-000001000000}" name="CODIGO"/>
    <tableColumn id="2" xr3:uid="{00000000-0010-0000-0100-000002000000}" name="MATERIAL"/>
    <tableColumn id="3" xr3:uid="{00000000-0010-0000-0100-000003000000}" name="UND"/>
    <tableColumn id="4" xr3:uid="{00000000-0010-0000-0100-000004000000}" name="TIPO"/>
    <tableColumn id="5" xr3:uid="{00000000-0010-0000-0100-000005000000}" name="clase"/>
    <tableColumn id="6" xr3:uid="{00000000-0010-0000-0100-000006000000}" name="Tipo 1"/>
    <tableColumn id="7" xr3:uid="{00000000-0010-0000-0100-000007000000}" name="FLASH"/>
    <tableColumn id="8" xr3:uid="{00000000-0010-0000-0100-000008000000}" name="Tipo 2"/>
    <tableColumn id="9" xr3:uid="{29B70E70-6B98-405D-BED0-F01C375E4441}" name="Tipo 3"/>
    <tableColumn id="10" xr3:uid="{AF057BE3-81B8-4F44-A00B-EAE4C0E083D3}" name="Tipo 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4F8BB5-820A-4B75-B241-5686C7DE2360}" name="ATA" displayName="ATA" ref="A1:G112" totalsRowShown="0" headerRowDxfId="8" dataDxfId="6" headerRowBorderDxfId="7">
  <autoFilter ref="A1:G112" xr:uid="{634F8BB5-820A-4B75-B241-5686C7DE2360}"/>
  <tableColumns count="7">
    <tableColumn id="1" xr3:uid="{166F29FA-891E-49B0-8332-8E0174164E7F}" name="CODIGO SAP" dataDxfId="5"/>
    <tableColumn id="2" xr3:uid="{04A64DB4-3BE4-4D22-921C-4E978D9E1152}" name="CODIGO" dataDxfId="4"/>
    <tableColumn id="3" xr3:uid="{F2962A75-B7C4-4397-B176-216F13A0D767}" name="MATERIAL"/>
    <tableColumn id="4" xr3:uid="{A3C86222-CA8C-47C5-8264-D64D3141D66E}" name="UND" dataDxfId="3"/>
    <tableColumn id="5" xr3:uid="{CBE50BC9-A9C4-4F5F-8F6E-904F8E3B30E9}" name="TIPO" dataDxfId="2"/>
    <tableColumn id="6" xr3:uid="{71532443-A652-4382-A57C-8C74678E0E70}" name="Clase" dataDxfId="1"/>
    <tableColumn id="7" xr3:uid="{1953F094-04D1-4752-8A05-E4589209B52E}" name="Tipo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234"/>
  <sheetViews>
    <sheetView workbookViewId="0">
      <selection activeCell="B29" sqref="B29"/>
    </sheetView>
  </sheetViews>
  <sheetFormatPr baseColWidth="10" defaultColWidth="9.26953125" defaultRowHeight="14.5" x14ac:dyDescent="0.35"/>
  <cols>
    <col min="1" max="1" width="12.453125" bestFit="1" customWidth="1"/>
    <col min="2" max="2" width="39.26953125" bestFit="1" customWidth="1"/>
    <col min="3" max="3" width="44.26953125" bestFit="1" customWidth="1"/>
    <col min="4" max="4" width="3" bestFit="1" customWidth="1"/>
    <col min="5" max="5" width="11.7265625" bestFit="1" customWidth="1"/>
    <col min="6" max="6" width="44.26953125" bestFit="1" customWidth="1"/>
    <col min="7" max="7" width="26.26953125" bestFit="1" customWidth="1"/>
    <col min="8" max="8" width="11.26953125" bestFit="1" customWidth="1"/>
  </cols>
  <sheetData>
    <row r="1" spans="1:9" ht="14.5" customHeight="1" x14ac:dyDescent="0.35">
      <c r="A1" s="1" t="s">
        <v>0</v>
      </c>
      <c r="B1" s="1" t="s">
        <v>1</v>
      </c>
      <c r="C1" s="1" t="s">
        <v>2</v>
      </c>
      <c r="D1" s="1">
        <v>0</v>
      </c>
      <c r="E1" s="1" t="s">
        <v>3</v>
      </c>
      <c r="F1" s="1"/>
      <c r="G1" s="16" t="s">
        <v>4</v>
      </c>
      <c r="H1" s="16" t="s">
        <v>5</v>
      </c>
      <c r="I1" s="16" t="s">
        <v>6</v>
      </c>
    </row>
    <row r="2" spans="1:9" x14ac:dyDescent="0.35">
      <c r="A2">
        <v>927</v>
      </c>
      <c r="B2" t="s">
        <v>7</v>
      </c>
      <c r="C2" t="s">
        <v>7</v>
      </c>
      <c r="D2" t="s">
        <v>8</v>
      </c>
      <c r="E2">
        <v>30018</v>
      </c>
      <c r="F2" t="s">
        <v>7</v>
      </c>
      <c r="G2" s="17" t="str">
        <f>VLOOKUP(E2*1,Tabla42[[CODIGO]:[UND]],3,0)&amp;"  "&amp;VLOOKUP(E2*1,Tabla42[[CODIGO]:[TIPO]],4,0)</f>
        <v>30  TERMOENCOGIDO</v>
      </c>
      <c r="H2" s="17" t="str">
        <f>VLOOKUP(E2,Tabla42[[CODIGO]:[clase]],5,0)</f>
        <v>AA</v>
      </c>
      <c r="I2" s="17" t="s">
        <v>9</v>
      </c>
    </row>
    <row r="3" spans="1:9" x14ac:dyDescent="0.35">
      <c r="A3">
        <v>923</v>
      </c>
      <c r="B3" t="s">
        <v>10</v>
      </c>
      <c r="C3" t="s">
        <v>7</v>
      </c>
      <c r="D3" t="s">
        <v>8</v>
      </c>
      <c r="E3">
        <v>30018</v>
      </c>
      <c r="F3" t="s">
        <v>7</v>
      </c>
      <c r="G3" s="17" t="str">
        <f>VLOOKUP(E3*1,Tabla42[[CODIGO]:[UND]],3,0)&amp;"  "&amp;VLOOKUP(E3*1,Tabla42[[CODIGO]:[TIPO]],4,0)</f>
        <v>30  TERMOENCOGIDO</v>
      </c>
      <c r="H3" s="17" t="str">
        <f>VLOOKUP(E3,Tabla42[[CODIGO]:[clase]],5,0)</f>
        <v>AA</v>
      </c>
      <c r="I3" s="17" t="s">
        <v>9</v>
      </c>
    </row>
    <row r="4" spans="1:9" x14ac:dyDescent="0.35">
      <c r="A4">
        <v>925</v>
      </c>
      <c r="B4" t="s">
        <v>11</v>
      </c>
      <c r="C4" t="s">
        <v>11</v>
      </c>
      <c r="D4" t="s">
        <v>8</v>
      </c>
      <c r="E4">
        <v>30019</v>
      </c>
      <c r="F4" t="s">
        <v>11</v>
      </c>
      <c r="G4" s="17" t="str">
        <f>VLOOKUP(E4*1,Tabla42[[CODIGO]:[UND]],3,0)&amp;"  "&amp;VLOOKUP(E4*1,Tabla42[[CODIGO]:[TIPO]],4,0)</f>
        <v>12  ESTUCHERIA</v>
      </c>
      <c r="H4" s="17" t="str">
        <f>VLOOKUP(E4,Tabla42[[CODIGO]:[clase]],5,0)</f>
        <v>AA</v>
      </c>
      <c r="I4" s="17" t="s">
        <v>9</v>
      </c>
    </row>
    <row r="5" spans="1:9" x14ac:dyDescent="0.35">
      <c r="A5">
        <v>947</v>
      </c>
      <c r="B5" t="s">
        <v>12</v>
      </c>
      <c r="C5" t="s">
        <v>12</v>
      </c>
      <c r="D5" t="s">
        <v>8</v>
      </c>
      <c r="E5">
        <v>30020</v>
      </c>
      <c r="F5" t="s">
        <v>12</v>
      </c>
      <c r="G5" s="17" t="str">
        <f>VLOOKUP(E5*1,Tabla42[[CODIGO]:[UND]],3,0)&amp;"  "&amp;VLOOKUP(E5*1,Tabla42[[CODIGO]:[TIPO]],4,0)</f>
        <v>30  AMARRADO</v>
      </c>
      <c r="H5" s="17" t="str">
        <f>VLOOKUP(E5,Tabla42[[CODIGO]:[clase]],5,0)</f>
        <v>A</v>
      </c>
      <c r="I5" s="17" t="s">
        <v>9</v>
      </c>
    </row>
    <row r="6" spans="1:9" x14ac:dyDescent="0.35">
      <c r="A6">
        <v>953</v>
      </c>
      <c r="B6" t="s">
        <v>13</v>
      </c>
      <c r="C6" t="s">
        <v>13</v>
      </c>
      <c r="D6" t="s">
        <v>8</v>
      </c>
      <c r="E6">
        <v>30021</v>
      </c>
      <c r="F6" t="s">
        <v>13</v>
      </c>
      <c r="G6" s="17" t="str">
        <f>VLOOKUP(E6*1,Tabla42[[CODIGO]:[UND]],3,0)&amp;"  "&amp;VLOOKUP(E6*1,Tabla42[[CODIGO]:[TIPO]],4,0)</f>
        <v>30  AMARRADO</v>
      </c>
      <c r="H6" s="17" t="str">
        <f>VLOOKUP(E6,Tabla42[[CODIGO]:[clase]],5,0)</f>
        <v>A</v>
      </c>
      <c r="I6" s="17" t="s">
        <v>9</v>
      </c>
    </row>
    <row r="7" spans="1:9" x14ac:dyDescent="0.35">
      <c r="A7">
        <v>952</v>
      </c>
      <c r="B7" t="s">
        <v>14</v>
      </c>
      <c r="C7" t="s">
        <v>14</v>
      </c>
      <c r="D7" t="s">
        <v>15</v>
      </c>
      <c r="E7">
        <v>30022</v>
      </c>
      <c r="F7" t="s">
        <v>14</v>
      </c>
      <c r="G7" s="17" t="str">
        <f>VLOOKUP(E7*1,Tabla42[[CODIGO]:[UND]],3,0)&amp;"  "&amp;VLOOKUP(E7*1,Tabla42[[CODIGO]:[TIPO]],4,0)</f>
        <v>30  AMARRADO</v>
      </c>
      <c r="H7" s="17" t="str">
        <f>VLOOKUP(E7,Tabla42[[CODIGO]:[clase]],5,0)</f>
        <v>B</v>
      </c>
      <c r="I7" s="17" t="s">
        <v>9</v>
      </c>
    </row>
    <row r="8" spans="1:9" x14ac:dyDescent="0.35">
      <c r="A8">
        <v>922</v>
      </c>
      <c r="B8" t="s">
        <v>16</v>
      </c>
      <c r="C8" t="s">
        <v>17</v>
      </c>
      <c r="D8" t="s">
        <v>15</v>
      </c>
      <c r="E8">
        <v>30023</v>
      </c>
      <c r="F8" t="s">
        <v>17</v>
      </c>
      <c r="G8" s="17" t="str">
        <f>VLOOKUP(E8*1,Tabla42[[CODIGO]:[UND]],3,0)&amp;"  "&amp;VLOOKUP(E8*1,Tabla42[[CODIGO]:[TIPO]],4,0)</f>
        <v>12  ESTUCHERIA</v>
      </c>
      <c r="H8" s="17" t="str">
        <f>VLOOKUP(E8,Tabla42[[CODIGO]:[clase]],5,0)</f>
        <v>A</v>
      </c>
      <c r="I8" s="17" t="s">
        <v>9</v>
      </c>
    </row>
    <row r="9" spans="1:9" x14ac:dyDescent="0.35">
      <c r="A9">
        <v>924</v>
      </c>
      <c r="B9" t="s">
        <v>18</v>
      </c>
      <c r="C9" t="s">
        <v>19</v>
      </c>
      <c r="D9" t="s">
        <v>15</v>
      </c>
      <c r="E9">
        <v>30024</v>
      </c>
      <c r="F9" t="s">
        <v>19</v>
      </c>
      <c r="G9" s="17" t="str">
        <f>VLOOKUP(E9*1,Tabla42[[CODIGO]:[UND]],3,0)&amp;"  "&amp;VLOOKUP(E9*1,Tabla42[[CODIGO]:[TIPO]],4,0)</f>
        <v>30  TERMOENCOGIDO</v>
      </c>
      <c r="H9" s="17" t="str">
        <f>VLOOKUP(E9,Tabla42[[CODIGO]:[clase]],5,0)</f>
        <v>A</v>
      </c>
      <c r="I9" s="17" t="s">
        <v>9</v>
      </c>
    </row>
    <row r="10" spans="1:9" x14ac:dyDescent="0.35">
      <c r="A10">
        <v>954</v>
      </c>
      <c r="B10" t="s">
        <v>20</v>
      </c>
      <c r="C10" t="s">
        <v>21</v>
      </c>
      <c r="D10" t="s">
        <v>22</v>
      </c>
      <c r="E10">
        <v>30025</v>
      </c>
      <c r="F10" t="s">
        <v>21</v>
      </c>
      <c r="G10" s="17" t="str">
        <f>VLOOKUP(E10*1,Tabla42[[CODIGO]:[UND]],3,0)&amp;"  "&amp;VLOOKUP(E10*1,Tabla42[[CODIGO]:[TIPO]],4,0)</f>
        <v>30  AMARRADO</v>
      </c>
      <c r="H10" s="17" t="str">
        <f>VLOOKUP(E10,Tabla42[[CODIGO]:[clase]],5,0)</f>
        <v>C</v>
      </c>
      <c r="I10" s="17" t="s">
        <v>9</v>
      </c>
    </row>
    <row r="11" spans="1:9" x14ac:dyDescent="0.35">
      <c r="A11">
        <v>543</v>
      </c>
      <c r="B11" t="s">
        <v>23</v>
      </c>
      <c r="C11" t="s">
        <v>21</v>
      </c>
      <c r="D11" t="s">
        <v>22</v>
      </c>
      <c r="E11">
        <v>30025</v>
      </c>
      <c r="F11" t="s">
        <v>21</v>
      </c>
      <c r="G11" s="17" t="str">
        <f>VLOOKUP(E11*1,Tabla42[[CODIGO]:[UND]],3,0)&amp;"  "&amp;VLOOKUP(E11*1,Tabla42[[CODIGO]:[TIPO]],4,0)</f>
        <v>30  AMARRADO</v>
      </c>
      <c r="H11" s="17" t="str">
        <f>VLOOKUP(E11,Tabla42[[CODIGO]:[clase]],5,0)</f>
        <v>C</v>
      </c>
      <c r="I11" s="17" t="s">
        <v>9</v>
      </c>
    </row>
    <row r="12" spans="1:9" x14ac:dyDescent="0.35">
      <c r="A12">
        <v>510</v>
      </c>
      <c r="B12" t="s">
        <v>24</v>
      </c>
      <c r="C12" t="s">
        <v>25</v>
      </c>
      <c r="D12" t="s">
        <v>26</v>
      </c>
      <c r="E12">
        <v>30026</v>
      </c>
      <c r="F12" t="s">
        <v>25</v>
      </c>
      <c r="G12" s="17" t="str">
        <f>VLOOKUP(E12*1,Tabla42[[CODIGO]:[UND]],3,0)&amp;"  "&amp;VLOOKUP(E12*1,Tabla42[[CODIGO]:[TIPO]],4,0)</f>
        <v>1  SUELTO</v>
      </c>
      <c r="H12" s="17" t="str">
        <f>VLOOKUP(E12,Tabla42[[CODIGO]:[clase]],5,0)</f>
        <v>SUCIO</v>
      </c>
      <c r="I12" s="17" t="s">
        <v>9</v>
      </c>
    </row>
    <row r="13" spans="1:9" x14ac:dyDescent="0.35">
      <c r="A13">
        <v>110</v>
      </c>
      <c r="B13" t="s">
        <v>27</v>
      </c>
      <c r="C13" t="s">
        <v>25</v>
      </c>
      <c r="D13" t="s">
        <v>26</v>
      </c>
      <c r="E13">
        <v>30026</v>
      </c>
      <c r="F13" t="s">
        <v>25</v>
      </c>
      <c r="G13" s="17" t="str">
        <f>VLOOKUP(E13*1,Tabla42[[CODIGO]:[UND]],3,0)&amp;"  "&amp;VLOOKUP(E13*1,Tabla42[[CODIGO]:[TIPO]],4,0)</f>
        <v>1  SUELTO</v>
      </c>
      <c r="H13" s="17" t="str">
        <f>VLOOKUP(E13,Tabla42[[CODIGO]:[clase]],5,0)</f>
        <v>SUCIO</v>
      </c>
      <c r="I13" s="17" t="s">
        <v>9</v>
      </c>
    </row>
    <row r="14" spans="1:9" x14ac:dyDescent="0.35">
      <c r="A14">
        <v>511</v>
      </c>
      <c r="B14" t="s">
        <v>28</v>
      </c>
      <c r="C14" t="s">
        <v>29</v>
      </c>
      <c r="D14" t="s">
        <v>26</v>
      </c>
      <c r="E14">
        <v>30027</v>
      </c>
      <c r="F14" t="s">
        <v>29</v>
      </c>
      <c r="G14" s="17" t="str">
        <f>VLOOKUP(E14*1,Tabla42[[CODIGO]:[UND]],3,0)&amp;"  "&amp;VLOOKUP(E14*1,Tabla42[[CODIGO]:[TIPO]],4,0)</f>
        <v>1  SUELTO</v>
      </c>
      <c r="H14" s="17" t="str">
        <f>VLOOKUP(E14,Tabla42[[CODIGO]:[clase]],5,0)</f>
        <v>SUCIO</v>
      </c>
      <c r="I14" s="17" t="s">
        <v>9</v>
      </c>
    </row>
    <row r="15" spans="1:9" x14ac:dyDescent="0.35">
      <c r="A15">
        <v>114</v>
      </c>
      <c r="B15" t="s">
        <v>30</v>
      </c>
      <c r="C15" t="s">
        <v>29</v>
      </c>
      <c r="D15" t="s">
        <v>26</v>
      </c>
      <c r="E15">
        <v>30027</v>
      </c>
      <c r="F15" t="s">
        <v>29</v>
      </c>
      <c r="G15" s="17" t="str">
        <f>VLOOKUP(E15*1,Tabla42[[CODIGO]:[UND]],3,0)&amp;"  "&amp;VLOOKUP(E15*1,Tabla42[[CODIGO]:[TIPO]],4,0)</f>
        <v>1  SUELTO</v>
      </c>
      <c r="H15" s="17" t="str">
        <f>VLOOKUP(E15,Tabla42[[CODIGO]:[clase]],5,0)</f>
        <v>SUCIO</v>
      </c>
      <c r="I15" s="17" t="s">
        <v>9</v>
      </c>
    </row>
    <row r="16" spans="1:9" x14ac:dyDescent="0.35">
      <c r="A16">
        <v>942</v>
      </c>
      <c r="B16" t="s">
        <v>31</v>
      </c>
      <c r="C16" t="s">
        <v>31</v>
      </c>
      <c r="D16" t="s">
        <v>32</v>
      </c>
      <c r="E16">
        <v>30028</v>
      </c>
      <c r="F16" t="s">
        <v>33</v>
      </c>
      <c r="G16" s="17" t="str">
        <f>VLOOKUP(E16*1,Tabla42[[CODIGO]:[UND]],3,0)&amp;"  "&amp;VLOOKUP(E16*1,Tabla42[[CODIGO]:[TIPO]],4,0)</f>
        <v>1  SUELTO</v>
      </c>
      <c r="H16" s="17" t="str">
        <f>VLOOKUP(E16,Tabla42[[CODIGO]:[clase]],5,0)</f>
        <v>PICADO</v>
      </c>
      <c r="I16" s="17" t="s">
        <v>9</v>
      </c>
    </row>
    <row r="17" spans="1:9" x14ac:dyDescent="0.35">
      <c r="A17">
        <v>512</v>
      </c>
      <c r="B17" t="s">
        <v>34</v>
      </c>
      <c r="C17" t="s">
        <v>31</v>
      </c>
      <c r="D17" t="s">
        <v>32</v>
      </c>
      <c r="E17">
        <v>30028</v>
      </c>
      <c r="F17" t="s">
        <v>33</v>
      </c>
      <c r="G17" s="17" t="str">
        <f>VLOOKUP(E17*1,Tabla42[[CODIGO]:[UND]],3,0)&amp;"  "&amp;VLOOKUP(E17*1,Tabla42[[CODIGO]:[TIPO]],4,0)</f>
        <v>1  SUELTO</v>
      </c>
      <c r="H17" s="17" t="str">
        <f>VLOOKUP(E17,Tabla42[[CODIGO]:[clase]],5,0)</f>
        <v>PICADO</v>
      </c>
      <c r="I17" s="17" t="s">
        <v>9</v>
      </c>
    </row>
    <row r="18" spans="1:9" x14ac:dyDescent="0.35">
      <c r="A18">
        <v>112</v>
      </c>
      <c r="B18" t="s">
        <v>35</v>
      </c>
      <c r="C18" t="s">
        <v>33</v>
      </c>
      <c r="D18" t="s">
        <v>32</v>
      </c>
      <c r="E18">
        <v>30028</v>
      </c>
      <c r="F18" t="s">
        <v>33</v>
      </c>
      <c r="G18" s="17" t="str">
        <f>VLOOKUP(E18*1,Tabla42[[CODIGO]:[UND]],3,0)&amp;"  "&amp;VLOOKUP(E18*1,Tabla42[[CODIGO]:[TIPO]],4,0)</f>
        <v>1  SUELTO</v>
      </c>
      <c r="H18" s="17" t="str">
        <f>VLOOKUP(E18,Tabla42[[CODIGO]:[clase]],5,0)</f>
        <v>PICADO</v>
      </c>
      <c r="I18" s="17" t="s">
        <v>9</v>
      </c>
    </row>
    <row r="19" spans="1:9" x14ac:dyDescent="0.35">
      <c r="A19">
        <v>945</v>
      </c>
      <c r="B19" t="s">
        <v>36</v>
      </c>
      <c r="C19" t="s">
        <v>36</v>
      </c>
      <c r="D19" t="s">
        <v>8</v>
      </c>
      <c r="E19">
        <v>30029</v>
      </c>
      <c r="F19" t="s">
        <v>36</v>
      </c>
      <c r="G19" s="17" t="str">
        <f>VLOOKUP(E19*1,Tabla42[[CODIGO]:[UND]],3,0)&amp;"  "&amp;VLOOKUP(E19*1,Tabla42[[CODIGO]:[TIPO]],4,0)</f>
        <v>30  AMARRADO</v>
      </c>
      <c r="H19" s="17" t="str">
        <f>VLOOKUP(E19,Tabla42[[CODIGO]:[clase]],5,0)</f>
        <v>A</v>
      </c>
      <c r="I19" s="17" t="s">
        <v>9</v>
      </c>
    </row>
    <row r="20" spans="1:9" x14ac:dyDescent="0.35">
      <c r="A20">
        <v>946</v>
      </c>
      <c r="B20" t="s">
        <v>37</v>
      </c>
      <c r="C20" t="s">
        <v>37</v>
      </c>
      <c r="D20" t="s">
        <v>8</v>
      </c>
      <c r="E20">
        <v>30030</v>
      </c>
      <c r="F20" t="s">
        <v>37</v>
      </c>
      <c r="G20" s="17" t="str">
        <f>VLOOKUP(E20*1,Tabla42[[CODIGO]:[UND]],3,0)&amp;"  "&amp;VLOOKUP(E20*1,Tabla42[[CODIGO]:[TIPO]],4,0)</f>
        <v>30  AMARRADO</v>
      </c>
      <c r="H20" s="17" t="str">
        <f>VLOOKUP(E20,Tabla42[[CODIGO]:[clase]],5,0)</f>
        <v>A</v>
      </c>
      <c r="I20" s="17" t="s">
        <v>9</v>
      </c>
    </row>
    <row r="21" spans="1:9" x14ac:dyDescent="0.35">
      <c r="A21">
        <v>935</v>
      </c>
      <c r="B21" t="s">
        <v>38</v>
      </c>
      <c r="C21" t="s">
        <v>39</v>
      </c>
      <c r="D21" t="s">
        <v>8</v>
      </c>
      <c r="E21">
        <v>30031</v>
      </c>
      <c r="F21" t="s">
        <v>39</v>
      </c>
      <c r="G21" s="17" t="str">
        <f>VLOOKUP(E21*1,Tabla42[[CODIGO]:[UND]],3,0)&amp;"  "&amp;VLOOKUP(E21*1,Tabla42[[CODIGO]:[TIPO]],4,0)</f>
        <v>30  TERMOENCOGIDO</v>
      </c>
      <c r="H21" s="17" t="str">
        <f>VLOOKUP(E21,Tabla42[[CODIGO]:[clase]],5,0)</f>
        <v>A</v>
      </c>
      <c r="I21" s="17" t="s">
        <v>9</v>
      </c>
    </row>
    <row r="22" spans="1:9" x14ac:dyDescent="0.35">
      <c r="A22">
        <v>958</v>
      </c>
      <c r="B22" t="s">
        <v>40</v>
      </c>
      <c r="C22" t="s">
        <v>41</v>
      </c>
      <c r="D22" t="s">
        <v>42</v>
      </c>
      <c r="E22">
        <v>30032</v>
      </c>
      <c r="F22" t="s">
        <v>41</v>
      </c>
      <c r="G22" s="17" t="str">
        <f>VLOOKUP(E22*1,Tabla42[[CODIGO]:[UND]],3,0)&amp;"  "&amp;VLOOKUP(E22*1,Tabla42[[CODIGO]:[TIPO]],4,0)</f>
        <v>12  ESTUCHERIA</v>
      </c>
      <c r="H22" s="17" t="str">
        <f>VLOOKUP(E22,Tabla42[[CODIGO]:[clase]],5,0)</f>
        <v>AA-A</v>
      </c>
      <c r="I22" s="17" t="s">
        <v>9</v>
      </c>
    </row>
    <row r="23" spans="1:9" x14ac:dyDescent="0.35">
      <c r="A23">
        <v>553</v>
      </c>
      <c r="B23" t="s">
        <v>43</v>
      </c>
      <c r="C23" t="s">
        <v>41</v>
      </c>
      <c r="D23" t="s">
        <v>42</v>
      </c>
      <c r="E23">
        <v>30032</v>
      </c>
      <c r="F23" t="s">
        <v>41</v>
      </c>
      <c r="G23" s="17" t="str">
        <f>VLOOKUP(E23*1,Tabla42[[CODIGO]:[UND]],3,0)&amp;"  "&amp;VLOOKUP(E23*1,Tabla42[[CODIGO]:[TIPO]],4,0)</f>
        <v>12  ESTUCHERIA</v>
      </c>
      <c r="H23" s="17" t="str">
        <f>VLOOKUP(E23,Tabla42[[CODIGO]:[clase]],5,0)</f>
        <v>AA-A</v>
      </c>
      <c r="I23" s="17" t="s">
        <v>9</v>
      </c>
    </row>
    <row r="24" spans="1:9" x14ac:dyDescent="0.35">
      <c r="A24">
        <v>201</v>
      </c>
      <c r="B24" t="s">
        <v>44</v>
      </c>
      <c r="C24" t="s">
        <v>41</v>
      </c>
      <c r="D24" t="s">
        <v>42</v>
      </c>
      <c r="E24">
        <v>30032</v>
      </c>
      <c r="F24" t="s">
        <v>41</v>
      </c>
      <c r="G24" s="17" t="str">
        <f>VLOOKUP(E24*1,Tabla42[[CODIGO]:[UND]],3,0)&amp;"  "&amp;VLOOKUP(E24*1,Tabla42[[CODIGO]:[TIPO]],4,0)</f>
        <v>12  ESTUCHERIA</v>
      </c>
      <c r="H24" s="17" t="str">
        <f>VLOOKUP(E24,Tabla42[[CODIGO]:[clase]],5,0)</f>
        <v>AA-A</v>
      </c>
      <c r="I24" s="17" t="s">
        <v>9</v>
      </c>
    </row>
    <row r="25" spans="1:9" x14ac:dyDescent="0.35">
      <c r="A25">
        <v>956</v>
      </c>
      <c r="B25" t="s">
        <v>45</v>
      </c>
      <c r="C25" t="s">
        <v>45</v>
      </c>
      <c r="D25" t="s">
        <v>8</v>
      </c>
      <c r="E25">
        <v>30034</v>
      </c>
      <c r="F25" t="s">
        <v>45</v>
      </c>
      <c r="G25" s="17" t="str">
        <f>VLOOKUP(E25*1,Tabla42[[CODIGO]:[UND]],3,0)&amp;"  "&amp;VLOOKUP(E25*1,Tabla42[[CODIGO]:[TIPO]],4,0)</f>
        <v>12  ESTUCHERIA</v>
      </c>
      <c r="H25" s="17" t="str">
        <f>VLOOKUP(E25,Tabla42[[CODIGO]:[clase]],5,0)</f>
        <v>A</v>
      </c>
      <c r="I25" s="17" t="s">
        <v>9</v>
      </c>
    </row>
    <row r="26" spans="1:9" x14ac:dyDescent="0.35">
      <c r="A26">
        <v>955</v>
      </c>
      <c r="B26" t="s">
        <v>46</v>
      </c>
      <c r="C26" t="s">
        <v>46</v>
      </c>
      <c r="D26" t="s">
        <v>8</v>
      </c>
      <c r="E26">
        <v>30035</v>
      </c>
      <c r="F26" t="s">
        <v>46</v>
      </c>
      <c r="G26" s="17" t="str">
        <f>VLOOKUP(E26*1,Tabla42[[CODIGO]:[UND]],3,0)&amp;"  "&amp;VLOOKUP(E26*1,Tabla42[[CODIGO]:[TIPO]],4,0)</f>
        <v>6  ESTUCHERIA</v>
      </c>
      <c r="H26" s="17" t="str">
        <f>VLOOKUP(E26,Tabla42[[CODIGO]:[clase]],5,0)</f>
        <v>A</v>
      </c>
      <c r="I26" s="17" t="s">
        <v>9</v>
      </c>
    </row>
    <row r="27" spans="1:9" x14ac:dyDescent="0.35">
      <c r="A27">
        <v>535</v>
      </c>
      <c r="B27" t="s">
        <v>47</v>
      </c>
      <c r="C27" t="s">
        <v>48</v>
      </c>
      <c r="D27" t="s">
        <v>8</v>
      </c>
      <c r="E27">
        <v>30037</v>
      </c>
      <c r="F27" t="s">
        <v>48</v>
      </c>
      <c r="G27" s="17" t="str">
        <f>VLOOKUP(E27*1,Tabla42[[CODIGO]:[UND]],3,0)&amp;"  "&amp;VLOOKUP(E27*1,Tabla42[[CODIGO]:[TIPO]],4,0)</f>
        <v>12  ESTUCHERIA</v>
      </c>
      <c r="H27" s="17" t="str">
        <f>VLOOKUP(E27,Tabla42[[CODIGO]:[clase]],5,0)</f>
        <v>A</v>
      </c>
      <c r="I27" s="17" t="s">
        <v>9</v>
      </c>
    </row>
    <row r="28" spans="1:9" x14ac:dyDescent="0.35">
      <c r="A28">
        <v>135</v>
      </c>
      <c r="B28" t="s">
        <v>49</v>
      </c>
      <c r="C28" t="s">
        <v>48</v>
      </c>
      <c r="D28" t="s">
        <v>8</v>
      </c>
      <c r="E28">
        <v>30037</v>
      </c>
      <c r="F28" t="s">
        <v>48</v>
      </c>
      <c r="G28" s="17" t="str">
        <f>VLOOKUP(E28*1,Tabla42[[CODIGO]:[UND]],3,0)&amp;"  "&amp;VLOOKUP(E28*1,Tabla42[[CODIGO]:[TIPO]],4,0)</f>
        <v>12  ESTUCHERIA</v>
      </c>
      <c r="H28" s="17" t="str">
        <f>VLOOKUP(E28,Tabla42[[CODIGO]:[clase]],5,0)</f>
        <v>A</v>
      </c>
      <c r="I28" s="17" t="s">
        <v>9</v>
      </c>
    </row>
    <row r="29" spans="1:9" x14ac:dyDescent="0.35">
      <c r="A29">
        <v>917</v>
      </c>
      <c r="B29" t="s">
        <v>48</v>
      </c>
      <c r="C29" t="s">
        <v>50</v>
      </c>
      <c r="D29" t="s">
        <v>51</v>
      </c>
      <c r="E29">
        <v>30037</v>
      </c>
      <c r="F29" t="s">
        <v>48</v>
      </c>
      <c r="G29" s="17" t="str">
        <f>VLOOKUP(E29*1,Tabla42[[CODIGO]:[UND]],3,0)&amp;"  "&amp;VLOOKUP(E29*1,Tabla42[[CODIGO]:[TIPO]],4,0)</f>
        <v>12  ESTUCHERIA</v>
      </c>
      <c r="H29" s="17" t="str">
        <f>VLOOKUP(E29,Tabla42[[CODIGO]:[clase]],5,0)</f>
        <v>A</v>
      </c>
      <c r="I29" s="17" t="s">
        <v>9</v>
      </c>
    </row>
    <row r="30" spans="1:9" x14ac:dyDescent="0.35">
      <c r="A30">
        <v>533</v>
      </c>
      <c r="B30" t="s">
        <v>52</v>
      </c>
      <c r="C30" t="s">
        <v>53</v>
      </c>
      <c r="D30" t="s">
        <v>8</v>
      </c>
      <c r="E30">
        <v>30038</v>
      </c>
      <c r="F30" t="s">
        <v>53</v>
      </c>
      <c r="G30" s="17" t="str">
        <f>VLOOKUP(E30*1,Tabla42[[CODIGO]:[UND]],3,0)&amp;"  "&amp;VLOOKUP(E30*1,Tabla42[[CODIGO]:[TIPO]],4,0)</f>
        <v>15  AMARRADO</v>
      </c>
      <c r="H30" s="17" t="str">
        <f>VLOOKUP(E30,Tabla42[[CODIGO]:[clase]],5,0)</f>
        <v>A</v>
      </c>
      <c r="I30" s="17" t="s">
        <v>9</v>
      </c>
    </row>
    <row r="31" spans="1:9" x14ac:dyDescent="0.35">
      <c r="A31">
        <v>133</v>
      </c>
      <c r="B31" t="s">
        <v>54</v>
      </c>
      <c r="C31" t="s">
        <v>53</v>
      </c>
      <c r="D31" t="s">
        <v>8</v>
      </c>
      <c r="E31">
        <v>30038</v>
      </c>
      <c r="F31" t="s">
        <v>53</v>
      </c>
      <c r="G31" s="17" t="str">
        <f>VLOOKUP(E31*1,Tabla42[[CODIGO]:[UND]],3,0)&amp;"  "&amp;VLOOKUP(E31*1,Tabla42[[CODIGO]:[TIPO]],4,0)</f>
        <v>15  AMARRADO</v>
      </c>
      <c r="H31" s="17" t="str">
        <f>VLOOKUP(E31,Tabla42[[CODIGO]:[clase]],5,0)</f>
        <v>A</v>
      </c>
      <c r="I31" s="17" t="s">
        <v>9</v>
      </c>
    </row>
    <row r="32" spans="1:9" x14ac:dyDescent="0.35">
      <c r="A32">
        <v>912</v>
      </c>
      <c r="B32" t="s">
        <v>53</v>
      </c>
      <c r="C32" t="s">
        <v>55</v>
      </c>
      <c r="D32" t="s">
        <v>8</v>
      </c>
      <c r="E32">
        <v>30039</v>
      </c>
      <c r="F32" t="s">
        <v>55</v>
      </c>
      <c r="G32" s="17" t="str">
        <f>VLOOKUP(E32*1,Tabla42[[CODIGO]:[UND]],3,0)&amp;"  "&amp;VLOOKUP(E32*1,Tabla42[[CODIGO]:[TIPO]],4,0)</f>
        <v>15  TERMOENCOGIDO</v>
      </c>
      <c r="H32" s="17" t="str">
        <f>VLOOKUP(E32,Tabla42[[CODIGO]:[clase]],5,0)</f>
        <v>A</v>
      </c>
      <c r="I32" s="17" t="s">
        <v>9</v>
      </c>
    </row>
    <row r="33" spans="1:9" x14ac:dyDescent="0.35">
      <c r="A33">
        <v>963</v>
      </c>
      <c r="B33" t="s">
        <v>55</v>
      </c>
      <c r="C33" t="s">
        <v>55</v>
      </c>
      <c r="D33" t="s">
        <v>8</v>
      </c>
      <c r="E33">
        <v>30039</v>
      </c>
      <c r="F33" t="s">
        <v>55</v>
      </c>
      <c r="G33" s="17" t="str">
        <f>VLOOKUP(E33*1,Tabla42[[CODIGO]:[UND]],3,0)&amp;"  "&amp;VLOOKUP(E33*1,Tabla42[[CODIGO]:[TIPO]],4,0)</f>
        <v>15  TERMOENCOGIDO</v>
      </c>
      <c r="H33" s="17" t="str">
        <f>VLOOKUP(E33,Tabla42[[CODIGO]:[clase]],5,0)</f>
        <v>A</v>
      </c>
      <c r="I33" s="17" t="s">
        <v>9</v>
      </c>
    </row>
    <row r="34" spans="1:9" x14ac:dyDescent="0.35">
      <c r="A34">
        <v>534</v>
      </c>
      <c r="B34" t="s">
        <v>56</v>
      </c>
      <c r="C34" t="s">
        <v>55</v>
      </c>
      <c r="D34" t="s">
        <v>8</v>
      </c>
      <c r="E34">
        <v>30039</v>
      </c>
      <c r="F34" t="s">
        <v>55</v>
      </c>
      <c r="G34" s="17" t="str">
        <f>VLOOKUP(E34*1,Tabla42[[CODIGO]:[UND]],3,0)&amp;"  "&amp;VLOOKUP(E34*1,Tabla42[[CODIGO]:[TIPO]],4,0)</f>
        <v>15  TERMOENCOGIDO</v>
      </c>
      <c r="H34" s="17" t="str">
        <f>VLOOKUP(E34,Tabla42[[CODIGO]:[clase]],5,0)</f>
        <v>A</v>
      </c>
      <c r="I34" s="17" t="s">
        <v>9</v>
      </c>
    </row>
    <row r="35" spans="1:9" x14ac:dyDescent="0.35">
      <c r="A35">
        <v>134</v>
      </c>
      <c r="B35" t="s">
        <v>57</v>
      </c>
      <c r="C35" t="s">
        <v>55</v>
      </c>
      <c r="D35" t="s">
        <v>8</v>
      </c>
      <c r="E35">
        <v>30039</v>
      </c>
      <c r="F35" t="s">
        <v>55</v>
      </c>
      <c r="G35" s="17" t="str">
        <f>VLOOKUP(E35*1,Tabla42[[CODIGO]:[UND]],3,0)&amp;"  "&amp;VLOOKUP(E35*1,Tabla42[[CODIGO]:[TIPO]],4,0)</f>
        <v>15  TERMOENCOGIDO</v>
      </c>
      <c r="H35" s="17" t="str">
        <f>VLOOKUP(E35,Tabla42[[CODIGO]:[clase]],5,0)</f>
        <v>A</v>
      </c>
      <c r="I35" s="17" t="s">
        <v>9</v>
      </c>
    </row>
    <row r="36" spans="1:9" x14ac:dyDescent="0.35">
      <c r="A36">
        <v>921</v>
      </c>
      <c r="B36" t="s">
        <v>58</v>
      </c>
      <c r="C36" t="s">
        <v>59</v>
      </c>
      <c r="D36" t="s">
        <v>8</v>
      </c>
      <c r="E36">
        <v>30040</v>
      </c>
      <c r="F36" t="s">
        <v>59</v>
      </c>
      <c r="G36" s="17" t="str">
        <f>VLOOKUP(E36*1,Tabla42[[CODIGO]:[UND]],3,0)&amp;"  "&amp;VLOOKUP(E36*1,Tabla42[[CODIGO]:[TIPO]],4,0)</f>
        <v>30  AMARRADO</v>
      </c>
      <c r="H36" s="17" t="str">
        <f>VLOOKUP(E36,Tabla42[[CODIGO]:[clase]],5,0)</f>
        <v>A</v>
      </c>
      <c r="I36" s="17" t="s">
        <v>9</v>
      </c>
    </row>
    <row r="37" spans="1:9" x14ac:dyDescent="0.35">
      <c r="A37">
        <v>934</v>
      </c>
      <c r="B37" t="s">
        <v>60</v>
      </c>
      <c r="C37" t="s">
        <v>59</v>
      </c>
      <c r="D37" t="s">
        <v>8</v>
      </c>
      <c r="E37">
        <v>30040</v>
      </c>
      <c r="F37" t="s">
        <v>59</v>
      </c>
      <c r="G37" s="17" t="str">
        <f>VLOOKUP(E37*1,Tabla42[[CODIGO]:[UND]],3,0)&amp;"  "&amp;VLOOKUP(E37*1,Tabla42[[CODIGO]:[TIPO]],4,0)</f>
        <v>30  AMARRADO</v>
      </c>
      <c r="H37" s="17" t="str">
        <f>VLOOKUP(E37,Tabla42[[CODIGO]:[clase]],5,0)</f>
        <v>A</v>
      </c>
      <c r="I37" s="17" t="s">
        <v>9</v>
      </c>
    </row>
    <row r="38" spans="1:9" x14ac:dyDescent="0.35">
      <c r="A38">
        <v>911</v>
      </c>
      <c r="B38" t="s">
        <v>59</v>
      </c>
      <c r="C38" t="s">
        <v>59</v>
      </c>
      <c r="D38" t="s">
        <v>8</v>
      </c>
      <c r="E38">
        <v>30040</v>
      </c>
      <c r="F38" t="s">
        <v>59</v>
      </c>
      <c r="G38" s="17" t="str">
        <f>VLOOKUP(E38*1,Tabla42[[CODIGO]:[UND]],3,0)&amp;"  "&amp;VLOOKUP(E38*1,Tabla42[[CODIGO]:[TIPO]],4,0)</f>
        <v>30  AMARRADO</v>
      </c>
      <c r="H38" s="17" t="str">
        <f>VLOOKUP(E38,Tabla42[[CODIGO]:[clase]],5,0)</f>
        <v>A</v>
      </c>
      <c r="I38" s="17" t="s">
        <v>9</v>
      </c>
    </row>
    <row r="39" spans="1:9" x14ac:dyDescent="0.35">
      <c r="A39">
        <v>531</v>
      </c>
      <c r="B39" t="s">
        <v>61</v>
      </c>
      <c r="C39" t="s">
        <v>59</v>
      </c>
      <c r="D39" t="s">
        <v>8</v>
      </c>
      <c r="E39">
        <v>30040</v>
      </c>
      <c r="F39" t="s">
        <v>59</v>
      </c>
      <c r="G39" s="17" t="str">
        <f>VLOOKUP(E39*1,Tabla42[[CODIGO]:[UND]],3,0)&amp;"  "&amp;VLOOKUP(E39*1,Tabla42[[CODIGO]:[TIPO]],4,0)</f>
        <v>30  AMARRADO</v>
      </c>
      <c r="H39" s="17" t="str">
        <f>VLOOKUP(E39,Tabla42[[CODIGO]:[clase]],5,0)</f>
        <v>A</v>
      </c>
      <c r="I39" s="17" t="s">
        <v>9</v>
      </c>
    </row>
    <row r="40" spans="1:9" x14ac:dyDescent="0.35">
      <c r="A40">
        <v>131</v>
      </c>
      <c r="B40" t="s">
        <v>62</v>
      </c>
      <c r="C40" t="s">
        <v>59</v>
      </c>
      <c r="D40" t="s">
        <v>8</v>
      </c>
      <c r="E40">
        <v>30040</v>
      </c>
      <c r="F40" t="s">
        <v>59</v>
      </c>
      <c r="G40" s="17" t="str">
        <f>VLOOKUP(E40*1,Tabla42[[CODIGO]:[UND]],3,0)&amp;"  "&amp;VLOOKUP(E40*1,Tabla42[[CODIGO]:[TIPO]],4,0)</f>
        <v>30  AMARRADO</v>
      </c>
      <c r="H40" s="17" t="str">
        <f>VLOOKUP(E40,Tabla42[[CODIGO]:[clase]],5,0)</f>
        <v>A</v>
      </c>
      <c r="I40" s="17" t="s">
        <v>9</v>
      </c>
    </row>
    <row r="41" spans="1:9" x14ac:dyDescent="0.35">
      <c r="A41">
        <v>918</v>
      </c>
      <c r="B41" t="s">
        <v>63</v>
      </c>
      <c r="C41" t="s">
        <v>63</v>
      </c>
      <c r="D41" t="s">
        <v>8</v>
      </c>
      <c r="E41">
        <v>30041</v>
      </c>
      <c r="F41" t="s">
        <v>63</v>
      </c>
      <c r="G41" s="17" t="str">
        <f>VLOOKUP(E41*1,Tabla42[[CODIGO]:[UND]],3,0)&amp;"  "&amp;VLOOKUP(E41*1,Tabla42[[CODIGO]:[TIPO]],4,0)</f>
        <v>6  ESTUCHERIA</v>
      </c>
      <c r="H41" s="17" t="str">
        <f>VLOOKUP(E41,Tabla42[[CODIGO]:[clase]],5,0)</f>
        <v>A</v>
      </c>
      <c r="I41" s="17" t="s">
        <v>9</v>
      </c>
    </row>
    <row r="42" spans="1:9" x14ac:dyDescent="0.35">
      <c r="A42">
        <v>536</v>
      </c>
      <c r="B42" t="s">
        <v>64</v>
      </c>
      <c r="C42" t="s">
        <v>63</v>
      </c>
      <c r="D42" t="s">
        <v>8</v>
      </c>
      <c r="E42">
        <v>30041</v>
      </c>
      <c r="F42" t="s">
        <v>63</v>
      </c>
      <c r="G42" s="17" t="str">
        <f>VLOOKUP(E42*1,Tabla42[[CODIGO]:[UND]],3,0)&amp;"  "&amp;VLOOKUP(E42*1,Tabla42[[CODIGO]:[TIPO]],4,0)</f>
        <v>6  ESTUCHERIA</v>
      </c>
      <c r="H42" s="17" t="str">
        <f>VLOOKUP(E42,Tabla42[[CODIGO]:[clase]],5,0)</f>
        <v>A</v>
      </c>
      <c r="I42" s="17" t="s">
        <v>9</v>
      </c>
    </row>
    <row r="43" spans="1:9" x14ac:dyDescent="0.35">
      <c r="A43">
        <v>136</v>
      </c>
      <c r="B43" t="s">
        <v>65</v>
      </c>
      <c r="C43" t="s">
        <v>63</v>
      </c>
      <c r="D43" t="s">
        <v>8</v>
      </c>
      <c r="E43">
        <v>30041</v>
      </c>
      <c r="F43" t="s">
        <v>63</v>
      </c>
      <c r="G43" s="17" t="str">
        <f>VLOOKUP(E43*1,Tabla42[[CODIGO]:[UND]],3,0)&amp;"  "&amp;VLOOKUP(E43*1,Tabla42[[CODIGO]:[TIPO]],4,0)</f>
        <v>6  ESTUCHERIA</v>
      </c>
      <c r="H43" s="17" t="str">
        <f>VLOOKUP(E43,Tabla42[[CODIGO]:[clase]],5,0)</f>
        <v>A</v>
      </c>
      <c r="I43" s="17" t="s">
        <v>9</v>
      </c>
    </row>
    <row r="44" spans="1:9" x14ac:dyDescent="0.35">
      <c r="A44">
        <v>903</v>
      </c>
      <c r="B44" t="s">
        <v>50</v>
      </c>
      <c r="C44" t="s">
        <v>50</v>
      </c>
      <c r="D44" t="s">
        <v>51</v>
      </c>
      <c r="E44">
        <v>30043</v>
      </c>
      <c r="F44" t="s">
        <v>50</v>
      </c>
      <c r="G44" s="17" t="str">
        <f>VLOOKUP(E44*1,Tabla42[[CODIGO]:[UND]],3,0)&amp;"  "&amp;VLOOKUP(E44*1,Tabla42[[CODIGO]:[TIPO]],4,0)</f>
        <v>12  ESTUCHERIA</v>
      </c>
      <c r="H44" s="17" t="str">
        <f>VLOOKUP(E44,Tabla42[[CODIGO]:[clase]],5,0)</f>
        <v>AA</v>
      </c>
      <c r="I44" s="17" t="s">
        <v>9</v>
      </c>
    </row>
    <row r="45" spans="1:9" x14ac:dyDescent="0.35">
      <c r="A45">
        <v>529</v>
      </c>
      <c r="B45" t="s">
        <v>66</v>
      </c>
      <c r="C45" t="s">
        <v>50</v>
      </c>
      <c r="D45" t="s">
        <v>51</v>
      </c>
      <c r="E45">
        <v>30043</v>
      </c>
      <c r="F45" t="s">
        <v>50</v>
      </c>
      <c r="G45" s="17" t="str">
        <f>VLOOKUP(E45*1,Tabla42[[CODIGO]:[UND]],3,0)&amp;"  "&amp;VLOOKUP(E45*1,Tabla42[[CODIGO]:[TIPO]],4,0)</f>
        <v>12  ESTUCHERIA</v>
      </c>
      <c r="H45" s="17" t="str">
        <f>VLOOKUP(E45,Tabla42[[CODIGO]:[clase]],5,0)</f>
        <v>AA</v>
      </c>
      <c r="I45" s="17" t="s">
        <v>9</v>
      </c>
    </row>
    <row r="46" spans="1:9" x14ac:dyDescent="0.35">
      <c r="A46">
        <v>129</v>
      </c>
      <c r="B46" t="s">
        <v>67</v>
      </c>
      <c r="C46" t="s">
        <v>50</v>
      </c>
      <c r="D46" t="s">
        <v>51</v>
      </c>
      <c r="E46">
        <v>30043</v>
      </c>
      <c r="F46" t="s">
        <v>50</v>
      </c>
      <c r="G46" s="17" t="str">
        <f>VLOOKUP(E46*1,Tabla42[[CODIGO]:[UND]],3,0)&amp;"  "&amp;VLOOKUP(E46*1,Tabla42[[CODIGO]:[TIPO]],4,0)</f>
        <v>12  ESTUCHERIA</v>
      </c>
      <c r="H46" s="17" t="str">
        <f>VLOOKUP(E46,Tabla42[[CODIGO]:[clase]],5,0)</f>
        <v>AA</v>
      </c>
      <c r="I46" s="17" t="s">
        <v>9</v>
      </c>
    </row>
    <row r="47" spans="1:9" x14ac:dyDescent="0.35">
      <c r="A47">
        <v>916</v>
      </c>
      <c r="B47" t="s">
        <v>68</v>
      </c>
      <c r="C47" t="s">
        <v>68</v>
      </c>
      <c r="D47" t="s">
        <v>51</v>
      </c>
      <c r="E47">
        <v>30044</v>
      </c>
      <c r="F47" t="s">
        <v>68</v>
      </c>
      <c r="G47" s="17" t="str">
        <f>VLOOKUP(E47*1,Tabla42[[CODIGO]:[UND]],3,0)&amp;"  "&amp;VLOOKUP(E47*1,Tabla42[[CODIGO]:[TIPO]],4,0)</f>
        <v>15  AMARRADO</v>
      </c>
      <c r="H47" s="17" t="str">
        <f>VLOOKUP(E47,Tabla42[[CODIGO]:[clase]],5,0)</f>
        <v>AA</v>
      </c>
      <c r="I47" s="17" t="s">
        <v>9</v>
      </c>
    </row>
    <row r="48" spans="1:9" x14ac:dyDescent="0.35">
      <c r="A48">
        <v>528</v>
      </c>
      <c r="B48" t="s">
        <v>69</v>
      </c>
      <c r="C48" t="s">
        <v>68</v>
      </c>
      <c r="D48" t="s">
        <v>51</v>
      </c>
      <c r="E48">
        <v>30044</v>
      </c>
      <c r="F48" t="s">
        <v>68</v>
      </c>
      <c r="G48" s="17" t="str">
        <f>VLOOKUP(E48*1,Tabla42[[CODIGO]:[UND]],3,0)&amp;"  "&amp;VLOOKUP(E48*1,Tabla42[[CODIGO]:[TIPO]],4,0)</f>
        <v>15  AMARRADO</v>
      </c>
      <c r="H48" s="17" t="str">
        <f>VLOOKUP(E48,Tabla42[[CODIGO]:[clase]],5,0)</f>
        <v>AA</v>
      </c>
      <c r="I48" s="17" t="s">
        <v>9</v>
      </c>
    </row>
    <row r="49" spans="1:9" x14ac:dyDescent="0.35">
      <c r="A49">
        <v>127</v>
      </c>
      <c r="B49" t="s">
        <v>70</v>
      </c>
      <c r="C49" t="s">
        <v>68</v>
      </c>
      <c r="D49" t="s">
        <v>51</v>
      </c>
      <c r="E49">
        <v>30044</v>
      </c>
      <c r="F49" t="s">
        <v>68</v>
      </c>
      <c r="G49" s="17" t="str">
        <f>VLOOKUP(E49*1,Tabla42[[CODIGO]:[UND]],3,0)&amp;"  "&amp;VLOOKUP(E49*1,Tabla42[[CODIGO]:[TIPO]],4,0)</f>
        <v>15  AMARRADO</v>
      </c>
      <c r="H49" s="17" t="str">
        <f>VLOOKUP(E49,Tabla42[[CODIGO]:[clase]],5,0)</f>
        <v>AA</v>
      </c>
      <c r="I49" s="17" t="s">
        <v>9</v>
      </c>
    </row>
    <row r="50" spans="1:9" x14ac:dyDescent="0.35">
      <c r="A50">
        <v>906</v>
      </c>
      <c r="B50" t="s">
        <v>71</v>
      </c>
      <c r="C50" t="s">
        <v>71</v>
      </c>
      <c r="D50" t="s">
        <v>51</v>
      </c>
      <c r="E50">
        <v>30045</v>
      </c>
      <c r="F50" t="s">
        <v>71</v>
      </c>
      <c r="G50" s="17" t="str">
        <f>VLOOKUP(E50*1,Tabla42[[CODIGO]:[UND]],3,0)&amp;"  "&amp;VLOOKUP(E50*1,Tabla42[[CODIGO]:[TIPO]],4,0)</f>
        <v>15  TERMOENCOGIDO</v>
      </c>
      <c r="H50" s="17" t="str">
        <f>VLOOKUP(E50,Tabla42[[CODIGO]:[clase]],5,0)</f>
        <v>AA</v>
      </c>
      <c r="I50" s="17" t="s">
        <v>9</v>
      </c>
    </row>
    <row r="51" spans="1:9" x14ac:dyDescent="0.35">
      <c r="A51">
        <v>128</v>
      </c>
      <c r="B51" t="s">
        <v>72</v>
      </c>
      <c r="C51" t="s">
        <v>71</v>
      </c>
      <c r="D51" t="s">
        <v>51</v>
      </c>
      <c r="E51">
        <v>30045</v>
      </c>
      <c r="F51" t="s">
        <v>71</v>
      </c>
      <c r="G51" s="17" t="str">
        <f>VLOOKUP(E51*1,Tabla42[[CODIGO]:[UND]],3,0)&amp;"  "&amp;VLOOKUP(E51*1,Tabla42[[CODIGO]:[TIPO]],4,0)</f>
        <v>15  TERMOENCOGIDO</v>
      </c>
      <c r="H51" s="17" t="str">
        <f>VLOOKUP(E51,Tabla42[[CODIGO]:[clase]],5,0)</f>
        <v>AA</v>
      </c>
      <c r="I51" s="17" t="s">
        <v>9</v>
      </c>
    </row>
    <row r="52" spans="1:9" x14ac:dyDescent="0.35">
      <c r="A52">
        <v>915</v>
      </c>
      <c r="B52" t="s">
        <v>73</v>
      </c>
      <c r="C52" t="s">
        <v>73</v>
      </c>
      <c r="D52" t="s">
        <v>51</v>
      </c>
      <c r="E52">
        <v>30046</v>
      </c>
      <c r="F52" t="s">
        <v>73</v>
      </c>
      <c r="G52" s="17" t="str">
        <f>VLOOKUP(E52*1,Tabla42[[CODIGO]:[UND]],3,0)&amp;"  "&amp;VLOOKUP(E52*1,Tabla42[[CODIGO]:[TIPO]],4,0)</f>
        <v>30  AMARRADO</v>
      </c>
      <c r="H52" s="17" t="str">
        <f>VLOOKUP(E52,Tabla42[[CODIGO]:[clase]],5,0)</f>
        <v>AA</v>
      </c>
      <c r="I52" s="17" t="s">
        <v>9</v>
      </c>
    </row>
    <row r="53" spans="1:9" x14ac:dyDescent="0.35">
      <c r="A53">
        <v>525</v>
      </c>
      <c r="B53" t="s">
        <v>74</v>
      </c>
      <c r="C53" t="s">
        <v>73</v>
      </c>
      <c r="D53" t="s">
        <v>51</v>
      </c>
      <c r="E53">
        <v>30046</v>
      </c>
      <c r="F53" t="s">
        <v>73</v>
      </c>
      <c r="G53" s="17" t="str">
        <f>VLOOKUP(E53*1,Tabla42[[CODIGO]:[UND]],3,0)&amp;"  "&amp;VLOOKUP(E53*1,Tabla42[[CODIGO]:[TIPO]],4,0)</f>
        <v>30  AMARRADO</v>
      </c>
      <c r="H53" s="17" t="str">
        <f>VLOOKUP(E53,Tabla42[[CODIGO]:[clase]],5,0)</f>
        <v>AA</v>
      </c>
      <c r="I53" s="17" t="s">
        <v>9</v>
      </c>
    </row>
    <row r="54" spans="1:9" x14ac:dyDescent="0.35">
      <c r="A54">
        <v>125</v>
      </c>
      <c r="B54" t="s">
        <v>75</v>
      </c>
      <c r="C54" t="s">
        <v>73</v>
      </c>
      <c r="D54" t="s">
        <v>51</v>
      </c>
      <c r="E54">
        <v>30046</v>
      </c>
      <c r="F54" t="s">
        <v>73</v>
      </c>
      <c r="G54" s="17" t="str">
        <f>VLOOKUP(E54*1,Tabla42[[CODIGO]:[UND]],3,0)&amp;"  "&amp;VLOOKUP(E54*1,Tabla42[[CODIGO]:[TIPO]],4,0)</f>
        <v>30  AMARRADO</v>
      </c>
      <c r="H54" s="17" t="str">
        <f>VLOOKUP(E54,Tabla42[[CODIGO]:[clase]],5,0)</f>
        <v>AA</v>
      </c>
      <c r="I54" s="17" t="s">
        <v>9</v>
      </c>
    </row>
    <row r="55" spans="1:9" x14ac:dyDescent="0.35">
      <c r="A55">
        <v>905</v>
      </c>
      <c r="B55" t="s">
        <v>76</v>
      </c>
      <c r="C55" t="s">
        <v>76</v>
      </c>
      <c r="D55" t="s">
        <v>51</v>
      </c>
      <c r="E55">
        <v>30047</v>
      </c>
      <c r="F55" t="s">
        <v>76</v>
      </c>
      <c r="G55" s="17" t="str">
        <f>VLOOKUP(E55*1,Tabla42[[CODIGO]:[UND]],3,0)&amp;"  "&amp;VLOOKUP(E55*1,Tabla42[[CODIGO]:[TIPO]],4,0)</f>
        <v>30  TERMOENCOGIDO</v>
      </c>
      <c r="H55" s="17" t="str">
        <f>VLOOKUP(E55,Tabla42[[CODIGO]:[clase]],5,0)</f>
        <v>AA</v>
      </c>
      <c r="I55" s="17" t="s">
        <v>9</v>
      </c>
    </row>
    <row r="56" spans="1:9" x14ac:dyDescent="0.35">
      <c r="A56">
        <v>526</v>
      </c>
      <c r="B56" t="s">
        <v>77</v>
      </c>
      <c r="C56" t="s">
        <v>76</v>
      </c>
      <c r="D56" t="s">
        <v>51</v>
      </c>
      <c r="E56">
        <v>30047</v>
      </c>
      <c r="F56" t="s">
        <v>76</v>
      </c>
      <c r="G56" s="17" t="str">
        <f>VLOOKUP(E56*1,Tabla42[[CODIGO]:[UND]],3,0)&amp;"  "&amp;VLOOKUP(E56*1,Tabla42[[CODIGO]:[TIPO]],4,0)</f>
        <v>30  TERMOENCOGIDO</v>
      </c>
      <c r="H56" s="17" t="str">
        <f>VLOOKUP(E56,Tabla42[[CODIGO]:[clase]],5,0)</f>
        <v>AA</v>
      </c>
      <c r="I56" s="17" t="s">
        <v>9</v>
      </c>
    </row>
    <row r="57" spans="1:9" x14ac:dyDescent="0.35">
      <c r="A57">
        <v>126</v>
      </c>
      <c r="B57" t="s">
        <v>78</v>
      </c>
      <c r="C57" t="s">
        <v>76</v>
      </c>
      <c r="D57" t="s">
        <v>51</v>
      </c>
      <c r="E57">
        <v>30047</v>
      </c>
      <c r="F57" t="s">
        <v>76</v>
      </c>
      <c r="G57" s="17" t="str">
        <f>VLOOKUP(E57*1,Tabla42[[CODIGO]:[UND]],3,0)&amp;"  "&amp;VLOOKUP(E57*1,Tabla42[[CODIGO]:[TIPO]],4,0)</f>
        <v>30  TERMOENCOGIDO</v>
      </c>
      <c r="H57" s="17" t="str">
        <f>VLOOKUP(E57,Tabla42[[CODIGO]:[clase]],5,0)</f>
        <v>AA</v>
      </c>
      <c r="I57" s="17" t="s">
        <v>9</v>
      </c>
    </row>
    <row r="58" spans="1:9" x14ac:dyDescent="0.35">
      <c r="A58">
        <v>901</v>
      </c>
      <c r="B58" t="s">
        <v>79</v>
      </c>
      <c r="C58" t="s">
        <v>79</v>
      </c>
      <c r="D58" t="s">
        <v>51</v>
      </c>
      <c r="E58">
        <v>30048</v>
      </c>
      <c r="F58" t="s">
        <v>79</v>
      </c>
      <c r="G58" s="17" t="str">
        <f>VLOOKUP(E58*1,Tabla42[[CODIGO]:[UND]],3,0)&amp;"  "&amp;VLOOKUP(E58*1,Tabla42[[CODIGO]:[TIPO]],4,0)</f>
        <v>6  ESTUCHERIA</v>
      </c>
      <c r="H58" s="17" t="str">
        <f>VLOOKUP(E58,Tabla42[[CODIGO]:[clase]],5,0)</f>
        <v>AA</v>
      </c>
      <c r="I58" s="17" t="s">
        <v>9</v>
      </c>
    </row>
    <row r="59" spans="1:9" x14ac:dyDescent="0.35">
      <c r="A59">
        <v>530</v>
      </c>
      <c r="B59" t="s">
        <v>80</v>
      </c>
      <c r="C59" t="s">
        <v>79</v>
      </c>
      <c r="D59" t="s">
        <v>51</v>
      </c>
      <c r="E59">
        <v>30048</v>
      </c>
      <c r="F59" t="s">
        <v>79</v>
      </c>
      <c r="G59" s="17" t="str">
        <f>VLOOKUP(E59*1,Tabla42[[CODIGO]:[UND]],3,0)&amp;"  "&amp;VLOOKUP(E59*1,Tabla42[[CODIGO]:[TIPO]],4,0)</f>
        <v>6  ESTUCHERIA</v>
      </c>
      <c r="H59" s="17" t="str">
        <f>VLOOKUP(E59,Tabla42[[CODIGO]:[clase]],5,0)</f>
        <v>AA</v>
      </c>
      <c r="I59" s="17" t="s">
        <v>9</v>
      </c>
    </row>
    <row r="60" spans="1:9" x14ac:dyDescent="0.35">
      <c r="A60">
        <v>130</v>
      </c>
      <c r="B60" t="s">
        <v>81</v>
      </c>
      <c r="C60" t="s">
        <v>79</v>
      </c>
      <c r="D60" t="s">
        <v>51</v>
      </c>
      <c r="E60">
        <v>30048</v>
      </c>
      <c r="F60" t="s">
        <v>79</v>
      </c>
      <c r="G60" s="17" t="str">
        <f>VLOOKUP(E60*1,Tabla42[[CODIGO]:[UND]],3,0)&amp;"  "&amp;VLOOKUP(E60*1,Tabla42[[CODIGO]:[TIPO]],4,0)</f>
        <v>6  ESTUCHERIA</v>
      </c>
      <c r="H60" s="17" t="str">
        <f>VLOOKUP(E60,Tabla42[[CODIGO]:[clase]],5,0)</f>
        <v>AA</v>
      </c>
      <c r="I60" s="17" t="s">
        <v>9</v>
      </c>
    </row>
    <row r="61" spans="1:9" x14ac:dyDescent="0.35">
      <c r="A61">
        <v>904</v>
      </c>
      <c r="B61" t="s">
        <v>82</v>
      </c>
      <c r="C61" t="s">
        <v>82</v>
      </c>
      <c r="D61" t="s">
        <v>83</v>
      </c>
      <c r="E61">
        <v>30049</v>
      </c>
      <c r="F61" t="s">
        <v>82</v>
      </c>
      <c r="G61" s="17" t="str">
        <f>VLOOKUP(E61*1,Tabla42[[CODIGO]:[UND]],3,0)&amp;"  "&amp;VLOOKUP(E61*1,Tabla42[[CODIGO]:[TIPO]],4,0)</f>
        <v>12  ESTUCHERIA</v>
      </c>
      <c r="H61" s="17" t="str">
        <f>VLOOKUP(E61,Tabla42[[CODIGO]:[clase]],5,0)</f>
        <v>AAA</v>
      </c>
      <c r="I61" s="17" t="s">
        <v>9</v>
      </c>
    </row>
    <row r="62" spans="1:9" x14ac:dyDescent="0.35">
      <c r="A62">
        <v>523</v>
      </c>
      <c r="B62" t="s">
        <v>84</v>
      </c>
      <c r="C62" t="s">
        <v>82</v>
      </c>
      <c r="D62" t="s">
        <v>83</v>
      </c>
      <c r="E62">
        <v>30049</v>
      </c>
      <c r="F62" t="s">
        <v>82</v>
      </c>
      <c r="G62" s="17" t="str">
        <f>VLOOKUP(E62*1,Tabla42[[CODIGO]:[UND]],3,0)&amp;"  "&amp;VLOOKUP(E62*1,Tabla42[[CODIGO]:[TIPO]],4,0)</f>
        <v>12  ESTUCHERIA</v>
      </c>
      <c r="H62" s="17" t="str">
        <f>VLOOKUP(E62,Tabla42[[CODIGO]:[clase]],5,0)</f>
        <v>AAA</v>
      </c>
      <c r="I62" s="17" t="s">
        <v>9</v>
      </c>
    </row>
    <row r="63" spans="1:9" x14ac:dyDescent="0.35">
      <c r="A63">
        <v>123</v>
      </c>
      <c r="B63" t="s">
        <v>85</v>
      </c>
      <c r="C63" t="s">
        <v>82</v>
      </c>
      <c r="D63" t="s">
        <v>83</v>
      </c>
      <c r="E63">
        <v>30049</v>
      </c>
      <c r="F63" t="s">
        <v>82</v>
      </c>
      <c r="G63" s="17" t="str">
        <f>VLOOKUP(E63*1,Tabla42[[CODIGO]:[UND]],3,0)&amp;"  "&amp;VLOOKUP(E63*1,Tabla42[[CODIGO]:[TIPO]],4,0)</f>
        <v>12  ESTUCHERIA</v>
      </c>
      <c r="H63" s="17" t="str">
        <f>VLOOKUP(E63,Tabla42[[CODIGO]:[clase]],5,0)</f>
        <v>AAA</v>
      </c>
      <c r="I63" s="17" t="s">
        <v>9</v>
      </c>
    </row>
    <row r="64" spans="1:9" x14ac:dyDescent="0.35">
      <c r="A64">
        <v>965</v>
      </c>
      <c r="B64" t="s">
        <v>86</v>
      </c>
      <c r="C64" t="s">
        <v>86</v>
      </c>
      <c r="D64" t="s">
        <v>83</v>
      </c>
      <c r="E64">
        <v>30050</v>
      </c>
      <c r="F64" t="s">
        <v>86</v>
      </c>
      <c r="G64" s="17" t="str">
        <f>VLOOKUP(E64*1,Tabla42[[CODIGO]:[UND]],3,0)&amp;"  "&amp;VLOOKUP(E64*1,Tabla42[[CODIGO]:[TIPO]],4,0)</f>
        <v>15  AMARRADO</v>
      </c>
      <c r="H64" s="17" t="str">
        <f>VLOOKUP(E64,Tabla42[[CODIGO]:[clase]],5,0)</f>
        <v>AAA</v>
      </c>
      <c r="I64" s="17" t="s">
        <v>9</v>
      </c>
    </row>
    <row r="65" spans="1:9" x14ac:dyDescent="0.35">
      <c r="A65">
        <v>908</v>
      </c>
      <c r="B65" t="s">
        <v>87</v>
      </c>
      <c r="C65" t="s">
        <v>87</v>
      </c>
      <c r="D65" t="s">
        <v>83</v>
      </c>
      <c r="E65">
        <v>30051</v>
      </c>
      <c r="F65" t="s">
        <v>87</v>
      </c>
      <c r="G65" s="17" t="str">
        <f>VLOOKUP(E65*1,Tabla42[[CODIGO]:[UND]],3,0)&amp;"  "&amp;VLOOKUP(E65*1,Tabla42[[CODIGO]:[TIPO]],4,0)</f>
        <v>15  TERMOENCOGIDO</v>
      </c>
      <c r="H65" s="17" t="str">
        <f>VLOOKUP(E65,Tabla42[[CODIGO]:[clase]],5,0)</f>
        <v>AAA</v>
      </c>
      <c r="I65" s="17" t="s">
        <v>9</v>
      </c>
    </row>
    <row r="66" spans="1:9" x14ac:dyDescent="0.35">
      <c r="A66">
        <v>522</v>
      </c>
      <c r="B66" t="s">
        <v>88</v>
      </c>
      <c r="C66" t="s">
        <v>87</v>
      </c>
      <c r="D66" t="s">
        <v>83</v>
      </c>
      <c r="E66">
        <v>30051</v>
      </c>
      <c r="F66" t="s">
        <v>87</v>
      </c>
      <c r="G66" s="17" t="str">
        <f>VLOOKUP(E66*1,Tabla42[[CODIGO]:[UND]],3,0)&amp;"  "&amp;VLOOKUP(E66*1,Tabla42[[CODIGO]:[TIPO]],4,0)</f>
        <v>15  TERMOENCOGIDO</v>
      </c>
      <c r="H66" s="17" t="str">
        <f>VLOOKUP(E66,Tabla42[[CODIGO]:[clase]],5,0)</f>
        <v>AAA</v>
      </c>
      <c r="I66" s="17" t="s">
        <v>9</v>
      </c>
    </row>
    <row r="67" spans="1:9" x14ac:dyDescent="0.35">
      <c r="A67">
        <v>122</v>
      </c>
      <c r="B67" t="s">
        <v>89</v>
      </c>
      <c r="C67" t="s">
        <v>87</v>
      </c>
      <c r="D67" t="s">
        <v>83</v>
      </c>
      <c r="E67">
        <v>30051</v>
      </c>
      <c r="F67" t="s">
        <v>87</v>
      </c>
      <c r="G67" s="17" t="str">
        <f>VLOOKUP(E67*1,Tabla42[[CODIGO]:[UND]],3,0)&amp;"  "&amp;VLOOKUP(E67*1,Tabla42[[CODIGO]:[TIPO]],4,0)</f>
        <v>15  TERMOENCOGIDO</v>
      </c>
      <c r="H67" s="17" t="str">
        <f>VLOOKUP(E67,Tabla42[[CODIGO]:[clase]],5,0)</f>
        <v>AAA</v>
      </c>
      <c r="I67" s="17" t="s">
        <v>9</v>
      </c>
    </row>
    <row r="68" spans="1:9" x14ac:dyDescent="0.35">
      <c r="A68">
        <v>919</v>
      </c>
      <c r="B68" t="s">
        <v>90</v>
      </c>
      <c r="C68" t="s">
        <v>90</v>
      </c>
      <c r="D68" t="s">
        <v>83</v>
      </c>
      <c r="E68">
        <v>30052</v>
      </c>
      <c r="F68" t="s">
        <v>90</v>
      </c>
      <c r="G68" s="17" t="str">
        <f>VLOOKUP(E68*1,Tabla42[[CODIGO]:[UND]],3,0)&amp;"  "&amp;VLOOKUP(E68*1,Tabla42[[CODIGO]:[TIPO]],4,0)</f>
        <v>30  AMARRADO</v>
      </c>
      <c r="H68" s="17" t="str">
        <f>VLOOKUP(E68,Tabla42[[CODIGO]:[clase]],5,0)</f>
        <v>AAA</v>
      </c>
      <c r="I68" s="17" t="s">
        <v>9</v>
      </c>
    </row>
    <row r="69" spans="1:9" x14ac:dyDescent="0.35">
      <c r="A69">
        <v>907</v>
      </c>
      <c r="B69" t="s">
        <v>91</v>
      </c>
      <c r="C69" t="s">
        <v>91</v>
      </c>
      <c r="D69" t="s">
        <v>83</v>
      </c>
      <c r="E69">
        <v>30053</v>
      </c>
      <c r="F69" t="s">
        <v>91</v>
      </c>
      <c r="G69" s="17" t="str">
        <f>VLOOKUP(E69*1,Tabla42[[CODIGO]:[UND]],3,0)&amp;"  "&amp;VLOOKUP(E69*1,Tabla42[[CODIGO]:[TIPO]],4,0)</f>
        <v>30  TERMOENCOGIDO</v>
      </c>
      <c r="H69" s="17" t="str">
        <f>VLOOKUP(E69,Tabla42[[CODIGO]:[clase]],5,0)</f>
        <v>AAA</v>
      </c>
      <c r="I69" s="17" t="s">
        <v>9</v>
      </c>
    </row>
    <row r="70" spans="1:9" x14ac:dyDescent="0.35">
      <c r="A70">
        <v>520</v>
      </c>
      <c r="B70" t="s">
        <v>92</v>
      </c>
      <c r="C70" t="s">
        <v>91</v>
      </c>
      <c r="D70" t="s">
        <v>83</v>
      </c>
      <c r="E70">
        <v>30053</v>
      </c>
      <c r="F70" t="s">
        <v>91</v>
      </c>
      <c r="G70" s="17" t="str">
        <f>VLOOKUP(E70*1,Tabla42[[CODIGO]:[UND]],3,0)&amp;"  "&amp;VLOOKUP(E70*1,Tabla42[[CODIGO]:[TIPO]],4,0)</f>
        <v>30  TERMOENCOGIDO</v>
      </c>
      <c r="H70" s="17" t="str">
        <f>VLOOKUP(E70,Tabla42[[CODIGO]:[clase]],5,0)</f>
        <v>AAA</v>
      </c>
      <c r="I70" s="17" t="s">
        <v>9</v>
      </c>
    </row>
    <row r="71" spans="1:9" x14ac:dyDescent="0.35">
      <c r="A71">
        <v>120</v>
      </c>
      <c r="B71" t="s">
        <v>93</v>
      </c>
      <c r="C71" t="s">
        <v>91</v>
      </c>
      <c r="D71" t="s">
        <v>83</v>
      </c>
      <c r="E71">
        <v>30053</v>
      </c>
      <c r="F71" t="s">
        <v>91</v>
      </c>
      <c r="G71" s="17" t="str">
        <f>VLOOKUP(E71*1,Tabla42[[CODIGO]:[UND]],3,0)&amp;"  "&amp;VLOOKUP(E71*1,Tabla42[[CODIGO]:[TIPO]],4,0)</f>
        <v>30  TERMOENCOGIDO</v>
      </c>
      <c r="H71" s="17" t="str">
        <f>VLOOKUP(E71,Tabla42[[CODIGO]:[clase]],5,0)</f>
        <v>AAA</v>
      </c>
      <c r="I71" s="17" t="s">
        <v>9</v>
      </c>
    </row>
    <row r="72" spans="1:9" x14ac:dyDescent="0.35">
      <c r="A72">
        <v>909</v>
      </c>
      <c r="B72" t="s">
        <v>94</v>
      </c>
      <c r="C72" t="s">
        <v>94</v>
      </c>
      <c r="D72" t="s">
        <v>95</v>
      </c>
      <c r="E72">
        <v>30054</v>
      </c>
      <c r="F72" t="s">
        <v>94</v>
      </c>
      <c r="G72" s="17" t="str">
        <f>VLOOKUP(E72*1,Tabla42[[CODIGO]:[UND]],3,0)&amp;"  "&amp;VLOOKUP(E72*1,Tabla42[[CODIGO]:[TIPO]],4,0)</f>
        <v>20  TERMOENCOGIDO</v>
      </c>
      <c r="H72" s="17" t="str">
        <f>VLOOKUP(E72,Tabla42[[CODIGO]:[clase]],5,0)</f>
        <v>AAAA</v>
      </c>
      <c r="I72" s="17" t="s">
        <v>9</v>
      </c>
    </row>
    <row r="73" spans="1:9" x14ac:dyDescent="0.35">
      <c r="A73">
        <v>518</v>
      </c>
      <c r="B73" t="s">
        <v>96</v>
      </c>
      <c r="C73" t="s">
        <v>94</v>
      </c>
      <c r="D73" t="s">
        <v>95</v>
      </c>
      <c r="E73">
        <v>30054</v>
      </c>
      <c r="F73" t="s">
        <v>94</v>
      </c>
      <c r="G73" s="17" t="str">
        <f>VLOOKUP(E73*1,Tabla42[[CODIGO]:[UND]],3,0)&amp;"  "&amp;VLOOKUP(E73*1,Tabla42[[CODIGO]:[TIPO]],4,0)</f>
        <v>20  TERMOENCOGIDO</v>
      </c>
      <c r="H73" s="17" t="str">
        <f>VLOOKUP(E73,Tabla42[[CODIGO]:[clase]],5,0)</f>
        <v>AAAA</v>
      </c>
      <c r="I73" s="17" t="s">
        <v>9</v>
      </c>
    </row>
    <row r="74" spans="1:9" x14ac:dyDescent="0.35">
      <c r="A74">
        <v>966</v>
      </c>
      <c r="B74" t="s">
        <v>97</v>
      </c>
      <c r="C74" t="s">
        <v>98</v>
      </c>
      <c r="D74" t="s">
        <v>15</v>
      </c>
      <c r="E74">
        <v>30055</v>
      </c>
      <c r="F74" t="s">
        <v>98</v>
      </c>
      <c r="G74" s="17" t="str">
        <f>VLOOKUP(E74*1,Tabla42[[CODIGO]:[UND]],3,0)&amp;"  "&amp;VLOOKUP(E74*1,Tabla42[[CODIGO]:[TIPO]],4,0)</f>
        <v>15  AMARRADO</v>
      </c>
      <c r="H74" s="17" t="str">
        <f>VLOOKUP(E74,Tabla42[[CODIGO]:[clase]],5,0)</f>
        <v>B</v>
      </c>
      <c r="I74" s="17" t="s">
        <v>9</v>
      </c>
    </row>
    <row r="75" spans="1:9" x14ac:dyDescent="0.35">
      <c r="A75">
        <v>914</v>
      </c>
      <c r="B75" t="s">
        <v>98</v>
      </c>
      <c r="C75" t="s">
        <v>98</v>
      </c>
      <c r="D75" t="s">
        <v>15</v>
      </c>
      <c r="E75">
        <v>30055</v>
      </c>
      <c r="F75" t="s">
        <v>98</v>
      </c>
      <c r="G75" s="17" t="str">
        <f>VLOOKUP(E75*1,Tabla42[[CODIGO]:[UND]],3,0)&amp;"  "&amp;VLOOKUP(E75*1,Tabla42[[CODIGO]:[TIPO]],4,0)</f>
        <v>15  AMARRADO</v>
      </c>
      <c r="H75" s="17" t="str">
        <f>VLOOKUP(E75,Tabla42[[CODIGO]:[clase]],5,0)</f>
        <v>B</v>
      </c>
      <c r="I75" s="17" t="s">
        <v>9</v>
      </c>
    </row>
    <row r="76" spans="1:9" x14ac:dyDescent="0.35">
      <c r="A76">
        <v>539</v>
      </c>
      <c r="B76" t="s">
        <v>99</v>
      </c>
      <c r="C76" t="s">
        <v>98</v>
      </c>
      <c r="D76" t="s">
        <v>15</v>
      </c>
      <c r="E76">
        <v>30055</v>
      </c>
      <c r="F76" t="s">
        <v>98</v>
      </c>
      <c r="G76" s="17" t="str">
        <f>VLOOKUP(E76*1,Tabla42[[CODIGO]:[UND]],3,0)&amp;"  "&amp;VLOOKUP(E76*1,Tabla42[[CODIGO]:[TIPO]],4,0)</f>
        <v>15  AMARRADO</v>
      </c>
      <c r="H76" s="17" t="str">
        <f>VLOOKUP(E76,Tabla42[[CODIGO]:[clase]],5,0)</f>
        <v>B</v>
      </c>
      <c r="I76" s="17" t="s">
        <v>9</v>
      </c>
    </row>
    <row r="77" spans="1:9" x14ac:dyDescent="0.35">
      <c r="A77">
        <v>139</v>
      </c>
      <c r="B77" t="s">
        <v>100</v>
      </c>
      <c r="C77" t="s">
        <v>98</v>
      </c>
      <c r="D77" t="s">
        <v>15</v>
      </c>
      <c r="E77">
        <v>30055</v>
      </c>
      <c r="F77" t="s">
        <v>98</v>
      </c>
      <c r="G77" s="17" t="str">
        <f>VLOOKUP(E77*1,Tabla42[[CODIGO]:[UND]],3,0)&amp;"  "&amp;VLOOKUP(E77*1,Tabla42[[CODIGO]:[TIPO]],4,0)</f>
        <v>15  AMARRADO</v>
      </c>
      <c r="H77" s="17" t="str">
        <f>VLOOKUP(E77,Tabla42[[CODIGO]:[clase]],5,0)</f>
        <v>B</v>
      </c>
      <c r="I77" s="17" t="s">
        <v>9</v>
      </c>
    </row>
    <row r="78" spans="1:9" x14ac:dyDescent="0.35">
      <c r="A78">
        <v>913</v>
      </c>
      <c r="B78" t="s">
        <v>101</v>
      </c>
      <c r="C78" t="s">
        <v>101</v>
      </c>
      <c r="D78" t="s">
        <v>15</v>
      </c>
      <c r="E78">
        <v>30056</v>
      </c>
      <c r="F78" t="s">
        <v>101</v>
      </c>
      <c r="G78" s="17" t="str">
        <f>VLOOKUP(E78*1,Tabla42[[CODIGO]:[UND]],3,0)&amp;"  "&amp;VLOOKUP(E78*1,Tabla42[[CODIGO]:[TIPO]],4,0)</f>
        <v>30  AMARRADO</v>
      </c>
      <c r="H78" s="17" t="str">
        <f>VLOOKUP(E78,Tabla42[[CODIGO]:[clase]],5,0)</f>
        <v>B</v>
      </c>
      <c r="I78" s="17" t="s">
        <v>9</v>
      </c>
    </row>
    <row r="79" spans="1:9" x14ac:dyDescent="0.35">
      <c r="A79">
        <v>537</v>
      </c>
      <c r="B79" t="s">
        <v>102</v>
      </c>
      <c r="C79" t="s">
        <v>101</v>
      </c>
      <c r="D79" t="s">
        <v>15</v>
      </c>
      <c r="E79">
        <v>30056</v>
      </c>
      <c r="F79" t="s">
        <v>101</v>
      </c>
      <c r="G79" s="17" t="str">
        <f>VLOOKUP(E79*1,Tabla42[[CODIGO]:[UND]],3,0)&amp;"  "&amp;VLOOKUP(E79*1,Tabla42[[CODIGO]:[TIPO]],4,0)</f>
        <v>30  AMARRADO</v>
      </c>
      <c r="H79" s="17" t="str">
        <f>VLOOKUP(E79,Tabla42[[CODIGO]:[clase]],5,0)</f>
        <v>B</v>
      </c>
      <c r="I79" s="17" t="s">
        <v>9</v>
      </c>
    </row>
    <row r="80" spans="1:9" x14ac:dyDescent="0.35">
      <c r="A80">
        <v>137</v>
      </c>
      <c r="B80" t="s">
        <v>103</v>
      </c>
      <c r="C80" t="s">
        <v>101</v>
      </c>
      <c r="D80" t="s">
        <v>15</v>
      </c>
      <c r="E80">
        <v>30056</v>
      </c>
      <c r="F80" t="s">
        <v>101</v>
      </c>
      <c r="G80" s="17" t="str">
        <f>VLOOKUP(E80*1,Tabla42[[CODIGO]:[UND]],3,0)&amp;"  "&amp;VLOOKUP(E80*1,Tabla42[[CODIGO]:[TIPO]],4,0)</f>
        <v>30  AMARRADO</v>
      </c>
      <c r="H80" s="17" t="str">
        <f>VLOOKUP(E80,Tabla42[[CODIGO]:[clase]],5,0)</f>
        <v>B</v>
      </c>
      <c r="I80" s="17" t="s">
        <v>9</v>
      </c>
    </row>
    <row r="81" spans="1:9" x14ac:dyDescent="0.35">
      <c r="A81">
        <v>150</v>
      </c>
      <c r="B81" t="s">
        <v>104</v>
      </c>
      <c r="C81" t="s">
        <v>105</v>
      </c>
      <c r="D81" t="s">
        <v>106</v>
      </c>
      <c r="E81">
        <v>30060</v>
      </c>
      <c r="F81" t="s">
        <v>105</v>
      </c>
      <c r="G81" s="17" t="str">
        <f>VLOOKUP(E81*1,Tabla42[[CODIGO]:[UND]],3,0)&amp;"  "&amp;VLOOKUP(E81*1,Tabla42[[CODIGO]:[TIPO]],4,0)</f>
        <v>11  YEMA</v>
      </c>
      <c r="H81" s="17" t="str">
        <f>VLOOKUP(E81,Tabla42[[CODIGO]:[clase]],5,0)</f>
        <v>YEMA</v>
      </c>
      <c r="I81" s="17" t="s">
        <v>9</v>
      </c>
    </row>
    <row r="82" spans="1:9" x14ac:dyDescent="0.35">
      <c r="A82">
        <v>550</v>
      </c>
      <c r="B82" t="s">
        <v>107</v>
      </c>
      <c r="C82" t="s">
        <v>105</v>
      </c>
      <c r="D82" t="s">
        <v>106</v>
      </c>
      <c r="E82">
        <v>30060</v>
      </c>
      <c r="F82" t="s">
        <v>105</v>
      </c>
      <c r="G82" s="17" t="str">
        <f>VLOOKUP(E82*1,Tabla42[[CODIGO]:[UND]],3,0)&amp;"  "&amp;VLOOKUP(E82*1,Tabla42[[CODIGO]:[TIPO]],4,0)</f>
        <v>11  YEMA</v>
      </c>
      <c r="H82" s="17" t="str">
        <f>VLOOKUP(E82,Tabla42[[CODIGO]:[clase]],5,0)</f>
        <v>YEMA</v>
      </c>
      <c r="I82" s="17" t="s">
        <v>9</v>
      </c>
    </row>
    <row r="83" spans="1:9" x14ac:dyDescent="0.35">
      <c r="A83">
        <v>931</v>
      </c>
      <c r="B83" t="s">
        <v>108</v>
      </c>
      <c r="C83" t="s">
        <v>109</v>
      </c>
      <c r="D83" t="s">
        <v>83</v>
      </c>
      <c r="E83">
        <v>40002</v>
      </c>
      <c r="F83" t="s">
        <v>109</v>
      </c>
      <c r="G83" s="17" t="str">
        <f>VLOOKUP(E83*1,Tabla42[[CODIGO]:[UND]],3,0)&amp;"  "&amp;VLOOKUP(E83*1,Tabla42[[CODIGO]:[TIPO]],4,0)</f>
        <v>1  SUELTO</v>
      </c>
      <c r="H83" s="17" t="str">
        <f>VLOOKUP(E83,Tabla42[[CODIGO]:[clase]],5,0)</f>
        <v>AAA</v>
      </c>
      <c r="I83" s="17" t="s">
        <v>9</v>
      </c>
    </row>
    <row r="84" spans="1:9" x14ac:dyDescent="0.35">
      <c r="A84">
        <v>503</v>
      </c>
      <c r="B84" t="s">
        <v>110</v>
      </c>
      <c r="C84" t="s">
        <v>109</v>
      </c>
      <c r="D84" t="s">
        <v>83</v>
      </c>
      <c r="E84">
        <v>40002</v>
      </c>
      <c r="F84" t="s">
        <v>109</v>
      </c>
      <c r="G84" s="17" t="str">
        <f>VLOOKUP(E84*1,Tabla42[[CODIGO]:[UND]],3,0)&amp;"  "&amp;VLOOKUP(E84*1,Tabla42[[CODIGO]:[TIPO]],4,0)</f>
        <v>1  SUELTO</v>
      </c>
      <c r="H84" s="17" t="str">
        <f>VLOOKUP(E84,Tabla42[[CODIGO]:[clase]],5,0)</f>
        <v>AAA</v>
      </c>
      <c r="I84" s="17" t="s">
        <v>9</v>
      </c>
    </row>
    <row r="85" spans="1:9" x14ac:dyDescent="0.35">
      <c r="A85">
        <v>103</v>
      </c>
      <c r="B85" t="s">
        <v>111</v>
      </c>
      <c r="C85" t="s">
        <v>109</v>
      </c>
      <c r="D85" t="s">
        <v>83</v>
      </c>
      <c r="E85">
        <v>40002</v>
      </c>
      <c r="F85" t="s">
        <v>109</v>
      </c>
      <c r="G85" s="17" t="str">
        <f>VLOOKUP(E85*1,Tabla42[[CODIGO]:[UND]],3,0)&amp;"  "&amp;VLOOKUP(E85*1,Tabla42[[CODIGO]:[TIPO]],4,0)</f>
        <v>1  SUELTO</v>
      </c>
      <c r="H85" s="17" t="str">
        <f>VLOOKUP(E85,Tabla42[[CODIGO]:[clase]],5,0)</f>
        <v>AAA</v>
      </c>
      <c r="I85" s="17" t="s">
        <v>9</v>
      </c>
    </row>
    <row r="86" spans="1:9" x14ac:dyDescent="0.35">
      <c r="A86">
        <v>930</v>
      </c>
      <c r="B86" t="s">
        <v>112</v>
      </c>
      <c r="C86" t="s">
        <v>113</v>
      </c>
      <c r="D86" t="s">
        <v>95</v>
      </c>
      <c r="E86">
        <v>40003</v>
      </c>
      <c r="F86" t="s">
        <v>113</v>
      </c>
      <c r="G86" s="17" t="str">
        <f>VLOOKUP(E86*1,Tabla42[[CODIGO]:[UND]],3,0)&amp;"  "&amp;VLOOKUP(E86*1,Tabla42[[CODIGO]:[TIPO]],4,0)</f>
        <v>1  SUELTO</v>
      </c>
      <c r="H86" s="17" t="str">
        <f>VLOOKUP(E86,Tabla42[[CODIGO]:[clase]],5,0)</f>
        <v>AAAA</v>
      </c>
      <c r="I86" s="17" t="s">
        <v>9</v>
      </c>
    </row>
    <row r="87" spans="1:9" x14ac:dyDescent="0.35">
      <c r="A87">
        <v>502</v>
      </c>
      <c r="B87" t="s">
        <v>114</v>
      </c>
      <c r="C87" t="s">
        <v>113</v>
      </c>
      <c r="D87" t="s">
        <v>95</v>
      </c>
      <c r="E87">
        <v>40003</v>
      </c>
      <c r="F87" t="s">
        <v>113</v>
      </c>
      <c r="G87" s="17" t="str">
        <f>VLOOKUP(E87*1,Tabla42[[CODIGO]:[UND]],3,0)&amp;"  "&amp;VLOOKUP(E87*1,Tabla42[[CODIGO]:[TIPO]],4,0)</f>
        <v>1  SUELTO</v>
      </c>
      <c r="H87" s="17" t="str">
        <f>VLOOKUP(E87,Tabla42[[CODIGO]:[clase]],5,0)</f>
        <v>AAAA</v>
      </c>
      <c r="I87" s="17" t="s">
        <v>9</v>
      </c>
    </row>
    <row r="88" spans="1:9" x14ac:dyDescent="0.35">
      <c r="A88">
        <v>102</v>
      </c>
      <c r="B88" t="s">
        <v>115</v>
      </c>
      <c r="C88" t="s">
        <v>113</v>
      </c>
      <c r="D88" t="s">
        <v>95</v>
      </c>
      <c r="E88">
        <v>40003</v>
      </c>
      <c r="F88" t="s">
        <v>113</v>
      </c>
      <c r="G88" s="17" t="str">
        <f>VLOOKUP(E88*1,Tabla42[[CODIGO]:[UND]],3,0)&amp;"  "&amp;VLOOKUP(E88*1,Tabla42[[CODIGO]:[TIPO]],4,0)</f>
        <v>1  SUELTO</v>
      </c>
      <c r="H88" s="17" t="str">
        <f>VLOOKUP(E88,Tabla42[[CODIGO]:[clase]],5,0)</f>
        <v>AAAA</v>
      </c>
      <c r="I88" s="17" t="s">
        <v>9</v>
      </c>
    </row>
    <row r="89" spans="1:9" x14ac:dyDescent="0.35">
      <c r="A89">
        <v>937</v>
      </c>
      <c r="B89" t="s">
        <v>116</v>
      </c>
      <c r="C89" t="s">
        <v>117</v>
      </c>
      <c r="D89" t="s">
        <v>15</v>
      </c>
      <c r="E89">
        <v>40004</v>
      </c>
      <c r="F89" t="s">
        <v>117</v>
      </c>
      <c r="G89" s="17" t="str">
        <f>VLOOKUP(E89*1,Tabla42[[CODIGO]:[UND]],3,0)&amp;"  "&amp;VLOOKUP(E89*1,Tabla42[[CODIGO]:[TIPO]],4,0)</f>
        <v>1  SUELTO</v>
      </c>
      <c r="H89" s="17" t="str">
        <f>VLOOKUP(E89,Tabla42[[CODIGO]:[clase]],5,0)</f>
        <v>B</v>
      </c>
      <c r="I89" s="17" t="s">
        <v>9</v>
      </c>
    </row>
    <row r="90" spans="1:9" x14ac:dyDescent="0.35">
      <c r="A90">
        <v>506</v>
      </c>
      <c r="B90" t="s">
        <v>118</v>
      </c>
      <c r="C90" t="s">
        <v>117</v>
      </c>
      <c r="D90" t="s">
        <v>15</v>
      </c>
      <c r="E90">
        <v>40004</v>
      </c>
      <c r="F90" t="s">
        <v>117</v>
      </c>
      <c r="G90" s="17" t="str">
        <f>VLOOKUP(E90*1,Tabla42[[CODIGO]:[UND]],3,0)&amp;"  "&amp;VLOOKUP(E90*1,Tabla42[[CODIGO]:[TIPO]],4,0)</f>
        <v>1  SUELTO</v>
      </c>
      <c r="H90" s="17" t="str">
        <f>VLOOKUP(E90,Tabla42[[CODIGO]:[clase]],5,0)</f>
        <v>B</v>
      </c>
      <c r="I90" s="17" t="s">
        <v>9</v>
      </c>
    </row>
    <row r="91" spans="1:9" x14ac:dyDescent="0.35">
      <c r="A91">
        <v>106</v>
      </c>
      <c r="B91" t="s">
        <v>119</v>
      </c>
      <c r="C91" t="s">
        <v>117</v>
      </c>
      <c r="D91" t="s">
        <v>15</v>
      </c>
      <c r="E91">
        <v>40004</v>
      </c>
      <c r="F91" t="s">
        <v>117</v>
      </c>
      <c r="G91" s="17" t="str">
        <f>VLOOKUP(E91*1,Tabla42[[CODIGO]:[UND]],3,0)&amp;"  "&amp;VLOOKUP(E91*1,Tabla42[[CODIGO]:[TIPO]],4,0)</f>
        <v>1  SUELTO</v>
      </c>
      <c r="H91" s="17" t="str">
        <f>VLOOKUP(E91,Tabla42[[CODIGO]:[clase]],5,0)</f>
        <v>B</v>
      </c>
      <c r="I91" s="17" t="s">
        <v>9</v>
      </c>
    </row>
    <row r="92" spans="1:9" x14ac:dyDescent="0.35">
      <c r="A92">
        <v>939</v>
      </c>
      <c r="B92" t="s">
        <v>120</v>
      </c>
      <c r="C92" t="s">
        <v>121</v>
      </c>
      <c r="D92" t="s">
        <v>22</v>
      </c>
      <c r="E92">
        <v>40005</v>
      </c>
      <c r="F92" t="s">
        <v>121</v>
      </c>
      <c r="G92" s="17" t="str">
        <f>VLOOKUP(E92*1,Tabla42[[CODIGO]:[UND]],3,0)&amp;"  "&amp;VLOOKUP(E92*1,Tabla42[[CODIGO]:[TIPO]],4,0)</f>
        <v>1  SUELTO</v>
      </c>
      <c r="H92" s="17" t="str">
        <f>VLOOKUP(E92,Tabla42[[CODIGO]:[clase]],5,0)</f>
        <v>C</v>
      </c>
      <c r="I92" s="17" t="s">
        <v>9</v>
      </c>
    </row>
    <row r="93" spans="1:9" x14ac:dyDescent="0.35">
      <c r="A93">
        <v>507</v>
      </c>
      <c r="B93" t="s">
        <v>122</v>
      </c>
      <c r="C93" t="s">
        <v>121</v>
      </c>
      <c r="D93" t="s">
        <v>22</v>
      </c>
      <c r="E93">
        <v>40005</v>
      </c>
      <c r="F93" t="s">
        <v>121</v>
      </c>
      <c r="G93" s="17" t="str">
        <f>VLOOKUP(E93*1,Tabla42[[CODIGO]:[UND]],3,0)&amp;"  "&amp;VLOOKUP(E93*1,Tabla42[[CODIGO]:[TIPO]],4,0)</f>
        <v>1  SUELTO</v>
      </c>
      <c r="H93" s="17" t="str">
        <f>VLOOKUP(E93,Tabla42[[CODIGO]:[clase]],5,0)</f>
        <v>C</v>
      </c>
      <c r="I93" s="17" t="s">
        <v>9</v>
      </c>
    </row>
    <row r="94" spans="1:9" x14ac:dyDescent="0.35">
      <c r="A94">
        <v>107</v>
      </c>
      <c r="B94" t="s">
        <v>123</v>
      </c>
      <c r="C94" t="s">
        <v>121</v>
      </c>
      <c r="D94" t="s">
        <v>22</v>
      </c>
      <c r="E94">
        <v>40005</v>
      </c>
      <c r="F94" t="s">
        <v>121</v>
      </c>
      <c r="G94" s="17" t="str">
        <f>VLOOKUP(E94*1,Tabla42[[CODIGO]:[UND]],3,0)&amp;"  "&amp;VLOOKUP(E94*1,Tabla42[[CODIGO]:[TIPO]],4,0)</f>
        <v>1  SUELTO</v>
      </c>
      <c r="H94" s="17" t="str">
        <f>VLOOKUP(E94,Tabla42[[CODIGO]:[clase]],5,0)</f>
        <v>C</v>
      </c>
      <c r="I94" s="17" t="s">
        <v>9</v>
      </c>
    </row>
    <row r="95" spans="1:9" x14ac:dyDescent="0.35">
      <c r="A95">
        <v>505</v>
      </c>
      <c r="B95" t="s">
        <v>124</v>
      </c>
      <c r="C95" t="s">
        <v>125</v>
      </c>
      <c r="D95" t="s">
        <v>8</v>
      </c>
      <c r="E95">
        <v>40007</v>
      </c>
      <c r="F95" t="s">
        <v>125</v>
      </c>
      <c r="G95" s="17" t="str">
        <f>VLOOKUP(E95*1,Tabla42[[CODIGO]:[UND]],3,0)&amp;"  "&amp;VLOOKUP(E95*1,Tabla42[[CODIGO]:[TIPO]],4,0)</f>
        <v>1  SUELTO</v>
      </c>
      <c r="H95" s="17" t="str">
        <f>VLOOKUP(E95,Tabla42[[CODIGO]:[clase]],5,0)</f>
        <v>A</v>
      </c>
      <c r="I95" s="17" t="s">
        <v>9</v>
      </c>
    </row>
    <row r="96" spans="1:9" x14ac:dyDescent="0.35">
      <c r="A96">
        <v>929</v>
      </c>
      <c r="B96" t="s">
        <v>126</v>
      </c>
      <c r="C96" t="s">
        <v>125</v>
      </c>
      <c r="D96" t="s">
        <v>8</v>
      </c>
      <c r="E96">
        <v>40007</v>
      </c>
      <c r="F96" t="s">
        <v>125</v>
      </c>
      <c r="G96" s="17" t="str">
        <f>VLOOKUP(E96*1,Tabla42[[CODIGO]:[UND]],3,0)&amp;"  "&amp;VLOOKUP(E96*1,Tabla42[[CODIGO]:[TIPO]],4,0)</f>
        <v>1  SUELTO</v>
      </c>
      <c r="H96" s="17" t="str">
        <f>VLOOKUP(E96,Tabla42[[CODIGO]:[clase]],5,0)</f>
        <v>A</v>
      </c>
      <c r="I96" s="17" t="s">
        <v>9</v>
      </c>
    </row>
    <row r="97" spans="1:9" x14ac:dyDescent="0.35">
      <c r="A97">
        <v>105</v>
      </c>
      <c r="B97" t="s">
        <v>127</v>
      </c>
      <c r="C97" t="s">
        <v>125</v>
      </c>
      <c r="D97" t="s">
        <v>8</v>
      </c>
      <c r="E97">
        <v>40007</v>
      </c>
      <c r="F97" t="s">
        <v>125</v>
      </c>
      <c r="G97" s="17" t="str">
        <f>VLOOKUP(E97*1,Tabla42[[CODIGO]:[UND]],3,0)&amp;"  "&amp;VLOOKUP(E97*1,Tabla42[[CODIGO]:[TIPO]],4,0)</f>
        <v>1  SUELTO</v>
      </c>
      <c r="H97" s="17" t="str">
        <f>VLOOKUP(E97,Tabla42[[CODIGO]:[clase]],5,0)</f>
        <v>A</v>
      </c>
      <c r="I97" s="17" t="s">
        <v>9</v>
      </c>
    </row>
    <row r="98" spans="1:9" x14ac:dyDescent="0.35">
      <c r="A98">
        <v>504</v>
      </c>
      <c r="B98" t="s">
        <v>128</v>
      </c>
      <c r="C98" t="s">
        <v>129</v>
      </c>
      <c r="D98" t="s">
        <v>51</v>
      </c>
      <c r="E98">
        <v>40008</v>
      </c>
      <c r="F98" t="s">
        <v>129</v>
      </c>
      <c r="G98" s="17" t="str">
        <f>VLOOKUP(E98*1,Tabla42[[CODIGO]:[UND]],3,0)&amp;"  "&amp;VLOOKUP(E98*1,Tabla42[[CODIGO]:[TIPO]],4,0)</f>
        <v>1  SUELTO</v>
      </c>
      <c r="H98" s="17" t="str">
        <f>VLOOKUP(E98,Tabla42[[CODIGO]:[clase]],5,0)</f>
        <v>AA</v>
      </c>
      <c r="I98" s="17" t="s">
        <v>9</v>
      </c>
    </row>
    <row r="99" spans="1:9" x14ac:dyDescent="0.35">
      <c r="A99">
        <v>928</v>
      </c>
      <c r="B99" t="s">
        <v>130</v>
      </c>
      <c r="C99" t="s">
        <v>129</v>
      </c>
      <c r="D99" t="s">
        <v>51</v>
      </c>
      <c r="E99">
        <v>40008</v>
      </c>
      <c r="F99" t="s">
        <v>129</v>
      </c>
      <c r="G99" s="17" t="str">
        <f>VLOOKUP(E99*1,Tabla42[[CODIGO]:[UND]],3,0)&amp;"  "&amp;VLOOKUP(E99*1,Tabla42[[CODIGO]:[TIPO]],4,0)</f>
        <v>1  SUELTO</v>
      </c>
      <c r="H99" s="17" t="str">
        <f>VLOOKUP(E99,Tabla42[[CODIGO]:[clase]],5,0)</f>
        <v>AA</v>
      </c>
      <c r="I99" s="17" t="s">
        <v>9</v>
      </c>
    </row>
    <row r="100" spans="1:9" x14ac:dyDescent="0.35">
      <c r="A100">
        <v>104</v>
      </c>
      <c r="B100" t="s">
        <v>131</v>
      </c>
      <c r="C100" t="s">
        <v>129</v>
      </c>
      <c r="D100" t="s">
        <v>51</v>
      </c>
      <c r="E100">
        <v>40008</v>
      </c>
      <c r="F100" t="s">
        <v>129</v>
      </c>
      <c r="G100" s="17" t="str">
        <f>VLOOKUP(E100*1,Tabla42[[CODIGO]:[UND]],3,0)&amp;"  "&amp;VLOOKUP(E100*1,Tabla42[[CODIGO]:[TIPO]],4,0)</f>
        <v>1  SUELTO</v>
      </c>
      <c r="H100" s="17" t="str">
        <f>VLOOKUP(E100,Tabla42[[CODIGO]:[clase]],5,0)</f>
        <v>AA</v>
      </c>
      <c r="I100" s="17" t="s">
        <v>9</v>
      </c>
    </row>
    <row r="101" spans="1:9" x14ac:dyDescent="0.35">
      <c r="A101" s="2">
        <v>962</v>
      </c>
      <c r="E101">
        <v>30061</v>
      </c>
      <c r="G101" s="17" t="str">
        <f>VLOOKUP(E101*1,Tabla42[[CODIGO]:[UND]],3,0)&amp;"  "&amp;VLOOKUP(E101*1,Tabla42[[CODIGO]:[TIPO]],4,0)</f>
        <v>11  YEMA</v>
      </c>
      <c r="H101" s="17" t="str">
        <f>VLOOKUP(E101,Tabla42[[CODIGO]:[clase]],5,0)</f>
        <v>YEMA</v>
      </c>
      <c r="I101" s="17" t="s">
        <v>9</v>
      </c>
    </row>
    <row r="102" spans="1:9" x14ac:dyDescent="0.35">
      <c r="A102">
        <v>900</v>
      </c>
      <c r="B102" t="s">
        <v>132</v>
      </c>
      <c r="E102">
        <v>10000</v>
      </c>
      <c r="F102" t="s">
        <v>133</v>
      </c>
      <c r="G102" s="17" t="str">
        <f>VLOOKUP(E102*1,Tabla42[[CODIGO]:[UND]],3,0)&amp;"  "&amp;VLOOKUP(E102*1,Tabla42[[CODIGO]:[TIPO]],4,0)</f>
        <v>1  SUELTO</v>
      </c>
      <c r="H102" s="17" t="str">
        <f>VLOOKUP(E102,Tabla42[[CODIGO]:[clase]],5,0)</f>
        <v>SUELTO</v>
      </c>
      <c r="I102" s="17" t="s">
        <v>9</v>
      </c>
    </row>
    <row r="103" spans="1:9" x14ac:dyDescent="0.35">
      <c r="A103">
        <v>501</v>
      </c>
      <c r="B103" t="s">
        <v>134</v>
      </c>
      <c r="E103">
        <v>10000</v>
      </c>
      <c r="F103" t="s">
        <v>133</v>
      </c>
      <c r="G103" s="17" t="str">
        <f>VLOOKUP(E103*1,Tabla42[[CODIGO]:[UND]],3,0)&amp;"  "&amp;VLOOKUP(E103*1,Tabla42[[CODIGO]:[TIPO]],4,0)</f>
        <v>1  SUELTO</v>
      </c>
      <c r="H103" s="17" t="str">
        <f>VLOOKUP(E103,Tabla42[[CODIGO]:[clase]],5,0)</f>
        <v>SUELTO</v>
      </c>
      <c r="I103" s="17" t="s">
        <v>9</v>
      </c>
    </row>
    <row r="104" spans="1:9" x14ac:dyDescent="0.35">
      <c r="A104">
        <v>516</v>
      </c>
      <c r="B104" t="s">
        <v>135</v>
      </c>
      <c r="E104">
        <v>10000</v>
      </c>
      <c r="F104" t="s">
        <v>133</v>
      </c>
      <c r="G104" s="17" t="str">
        <f>VLOOKUP(E104*1,Tabla42[[CODIGO]:[UND]],3,0)&amp;"  "&amp;VLOOKUP(E104*1,Tabla42[[CODIGO]:[TIPO]],4,0)</f>
        <v>1  SUELTO</v>
      </c>
      <c r="H104" s="17" t="str">
        <f>VLOOKUP(E104,Tabla42[[CODIGO]:[clase]],5,0)</f>
        <v>SUELTO</v>
      </c>
      <c r="I104" s="17" t="s">
        <v>9</v>
      </c>
    </row>
    <row r="105" spans="1:9" x14ac:dyDescent="0.35">
      <c r="A105">
        <v>0</v>
      </c>
      <c r="G105" s="17"/>
      <c r="H105" s="17"/>
      <c r="I105" s="17"/>
    </row>
    <row r="106" spans="1:9" x14ac:dyDescent="0.35">
      <c r="A106">
        <v>532</v>
      </c>
      <c r="B106" t="s">
        <v>136</v>
      </c>
      <c r="E106">
        <v>30031</v>
      </c>
      <c r="F106" t="s">
        <v>39</v>
      </c>
      <c r="G106" s="17" t="s">
        <v>137</v>
      </c>
      <c r="H106" s="17" t="s">
        <v>138</v>
      </c>
      <c r="I106" s="17" t="s">
        <v>9</v>
      </c>
    </row>
    <row r="107" spans="1:9" x14ac:dyDescent="0.35">
      <c r="A107">
        <v>920</v>
      </c>
      <c r="B107" t="s">
        <v>139</v>
      </c>
      <c r="E107">
        <v>30037</v>
      </c>
      <c r="F107" t="s">
        <v>48</v>
      </c>
      <c r="G107" s="17" t="s">
        <v>140</v>
      </c>
      <c r="H107" s="17" t="s">
        <v>138</v>
      </c>
      <c r="I107" s="17" t="s">
        <v>9</v>
      </c>
    </row>
    <row r="108" spans="1:9" x14ac:dyDescent="0.35">
      <c r="A108">
        <v>0</v>
      </c>
      <c r="G108" s="17"/>
      <c r="H108" s="17"/>
      <c r="I108" s="17"/>
    </row>
    <row r="109" spans="1:9" x14ac:dyDescent="0.35">
      <c r="A109">
        <v>902</v>
      </c>
      <c r="B109" t="s">
        <v>141</v>
      </c>
      <c r="E109" s="18">
        <v>30049</v>
      </c>
      <c r="F109" s="18" t="s">
        <v>82</v>
      </c>
      <c r="G109" s="17" t="s">
        <v>142</v>
      </c>
      <c r="H109" s="17" t="s">
        <v>143</v>
      </c>
      <c r="I109" s="17" t="s">
        <v>9</v>
      </c>
    </row>
    <row r="110" spans="1:9" x14ac:dyDescent="0.35">
      <c r="A110">
        <v>910</v>
      </c>
      <c r="B110" t="s">
        <v>144</v>
      </c>
      <c r="E110" s="18">
        <v>30037</v>
      </c>
      <c r="F110" s="18" t="s">
        <v>48</v>
      </c>
      <c r="G110" s="17" t="s">
        <v>145</v>
      </c>
      <c r="H110" s="17" t="s">
        <v>138</v>
      </c>
      <c r="I110" s="17" t="s">
        <v>9</v>
      </c>
    </row>
    <row r="111" spans="1:9" x14ac:dyDescent="0.35">
      <c r="A111">
        <v>0</v>
      </c>
      <c r="E111" s="18"/>
      <c r="F111" s="18"/>
      <c r="G111" s="17"/>
      <c r="H111" s="17"/>
      <c r="I111" s="17"/>
    </row>
    <row r="112" spans="1:9" x14ac:dyDescent="0.35">
      <c r="A112">
        <v>940</v>
      </c>
      <c r="B112" t="s">
        <v>146</v>
      </c>
      <c r="E112" s="18">
        <v>40007</v>
      </c>
      <c r="F112" s="18" t="s">
        <v>125</v>
      </c>
      <c r="G112" s="17" t="s">
        <v>147</v>
      </c>
      <c r="H112" s="17" t="s">
        <v>148</v>
      </c>
      <c r="I112" s="17" t="s">
        <v>9</v>
      </c>
    </row>
    <row r="113" spans="1:9" x14ac:dyDescent="0.35">
      <c r="A113">
        <v>508</v>
      </c>
      <c r="B113" t="s">
        <v>149</v>
      </c>
      <c r="E113" s="18">
        <v>40007</v>
      </c>
      <c r="F113" s="18" t="s">
        <v>125</v>
      </c>
      <c r="G113" s="17" t="s">
        <v>147</v>
      </c>
      <c r="H113" s="17" t="s">
        <v>148</v>
      </c>
      <c r="I113" s="17" t="s">
        <v>9</v>
      </c>
    </row>
    <row r="114" spans="1:9" x14ac:dyDescent="0.35">
      <c r="A114">
        <v>108</v>
      </c>
      <c r="B114" t="s">
        <v>150</v>
      </c>
      <c r="E114" s="18">
        <v>40007</v>
      </c>
      <c r="F114" s="18" t="s">
        <v>125</v>
      </c>
      <c r="G114" s="17" t="s">
        <v>147</v>
      </c>
      <c r="H114" s="17" t="s">
        <v>148</v>
      </c>
      <c r="I114" s="17" t="s">
        <v>9</v>
      </c>
    </row>
    <row r="115" spans="1:9" x14ac:dyDescent="0.35">
      <c r="A115">
        <v>0</v>
      </c>
      <c r="E115" s="18"/>
      <c r="F115" s="18"/>
    </row>
    <row r="116" spans="1:9" x14ac:dyDescent="0.35">
      <c r="A116" s="21">
        <v>40007</v>
      </c>
      <c r="B116" s="22" t="s">
        <v>125</v>
      </c>
      <c r="G116" s="17" t="str">
        <f>VLOOKUP(A116*1,Tabla42[[CODIGO]:[UND]],3,0)&amp;"  "&amp;VLOOKUP(A116*1,Tabla42[[CODIGO]:[TIPO]],4,0)</f>
        <v>1  SUELTO</v>
      </c>
      <c r="H116" s="17" t="str">
        <f>VLOOKUP(A116,Tabla42[[CODIGO]:[clase]],5,0)</f>
        <v>A</v>
      </c>
      <c r="I116" s="17" t="s">
        <v>9</v>
      </c>
    </row>
    <row r="117" spans="1:9" x14ac:dyDescent="0.35">
      <c r="A117" s="19">
        <v>30057</v>
      </c>
      <c r="B117" s="20" t="s">
        <v>151</v>
      </c>
      <c r="G117" s="17" t="str">
        <f>VLOOKUP(A117*1,Tabla42[[CODIGO]:[UND]],3,0)&amp;"  "&amp;VLOOKUP(A117*1,Tabla42[[CODIGO]:[TIPO]],4,0)</f>
        <v>1  SUELTO</v>
      </c>
      <c r="H117" s="17" t="str">
        <f>VLOOKUP(A117,Tabla42[[CODIGO]:[clase]],5,0)</f>
        <v>A</v>
      </c>
      <c r="I117" s="17" t="s">
        <v>9</v>
      </c>
    </row>
    <row r="118" spans="1:9" x14ac:dyDescent="0.35">
      <c r="A118" s="21">
        <v>30041</v>
      </c>
      <c r="B118" s="22" t="s">
        <v>63</v>
      </c>
      <c r="G118" s="17" t="str">
        <f>VLOOKUP(A118*1,Tabla42[[CODIGO]:[UND]],3,0)&amp;"  "&amp;VLOOKUP(A118*1,Tabla42[[CODIGO]:[TIPO]],4,0)</f>
        <v>6  ESTUCHERIA</v>
      </c>
      <c r="H118" s="17" t="str">
        <f>VLOOKUP(A118,Tabla42[[CODIGO]:[clase]],5,0)</f>
        <v>A</v>
      </c>
      <c r="I118" s="17" t="s">
        <v>9</v>
      </c>
    </row>
    <row r="119" spans="1:9" x14ac:dyDescent="0.35">
      <c r="A119" s="19">
        <v>30023</v>
      </c>
      <c r="B119" s="20" t="s">
        <v>17</v>
      </c>
      <c r="G119" s="17" t="str">
        <f>VLOOKUP(A119*1,Tabla42[[CODIGO]:[UND]],3,0)&amp;"  "&amp;VLOOKUP(A119*1,Tabla42[[CODIGO]:[TIPO]],4,0)</f>
        <v>12  ESTUCHERIA</v>
      </c>
      <c r="H119" s="17" t="str">
        <f>VLOOKUP(A119,Tabla42[[CODIGO]:[clase]],5,0)</f>
        <v>A</v>
      </c>
      <c r="I119" s="17" t="s">
        <v>9</v>
      </c>
    </row>
    <row r="120" spans="1:9" x14ac:dyDescent="0.35">
      <c r="A120" s="21">
        <v>30023</v>
      </c>
      <c r="B120" s="22" t="s">
        <v>152</v>
      </c>
      <c r="G120" s="17" t="str">
        <f>VLOOKUP(A120*1,Tabla42[[CODIGO]:[UND]],3,0)&amp;"  "&amp;VLOOKUP(A120*1,Tabla42[[CODIGO]:[TIPO]],4,0)</f>
        <v>12  ESTUCHERIA</v>
      </c>
      <c r="H120" s="17" t="str">
        <f>VLOOKUP(A120,Tabla42[[CODIGO]:[clase]],5,0)</f>
        <v>A</v>
      </c>
      <c r="I120" s="17" t="s">
        <v>9</v>
      </c>
    </row>
    <row r="121" spans="1:9" x14ac:dyDescent="0.35">
      <c r="A121" s="19">
        <v>30037</v>
      </c>
      <c r="B121" s="20" t="s">
        <v>48</v>
      </c>
      <c r="G121" s="17" t="str">
        <f>VLOOKUP(A121*1,Tabla42[[CODIGO]:[UND]],3,0)&amp;"  "&amp;VLOOKUP(A121*1,Tabla42[[CODIGO]:[TIPO]],4,0)</f>
        <v>12  ESTUCHERIA</v>
      </c>
      <c r="H121" s="17" t="str">
        <f>VLOOKUP(A121,Tabla42[[CODIGO]:[clase]],5,0)</f>
        <v>A</v>
      </c>
      <c r="I121" s="17" t="s">
        <v>9</v>
      </c>
    </row>
    <row r="122" spans="1:9" x14ac:dyDescent="0.35">
      <c r="A122" s="21">
        <v>30038</v>
      </c>
      <c r="B122" s="22" t="s">
        <v>53</v>
      </c>
      <c r="G122" s="17" t="str">
        <f>VLOOKUP(A122*1,Tabla42[[CODIGO]:[UND]],3,0)&amp;"  "&amp;VLOOKUP(A122*1,Tabla42[[CODIGO]:[TIPO]],4,0)</f>
        <v>15  AMARRADO</v>
      </c>
      <c r="H122" s="17" t="str">
        <f>VLOOKUP(A122,Tabla42[[CODIGO]:[clase]],5,0)</f>
        <v>A</v>
      </c>
      <c r="I122" s="17" t="s">
        <v>9</v>
      </c>
    </row>
    <row r="123" spans="1:9" x14ac:dyDescent="0.35">
      <c r="A123" s="19">
        <v>30039</v>
      </c>
      <c r="B123" s="20" t="s">
        <v>55</v>
      </c>
      <c r="G123" s="17" t="str">
        <f>VLOOKUP(A123*1,Tabla42[[CODIGO]:[UND]],3,0)&amp;"  "&amp;VLOOKUP(A123*1,Tabla42[[CODIGO]:[TIPO]],4,0)</f>
        <v>15  TERMOENCOGIDO</v>
      </c>
      <c r="H123" s="17" t="str">
        <f>VLOOKUP(A123,Tabla42[[CODIGO]:[clase]],5,0)</f>
        <v>A</v>
      </c>
      <c r="I123" s="17" t="s">
        <v>9</v>
      </c>
    </row>
    <row r="124" spans="1:9" x14ac:dyDescent="0.35">
      <c r="A124" s="21">
        <v>40107</v>
      </c>
      <c r="B124" s="22" t="s">
        <v>153</v>
      </c>
      <c r="G124" s="17" t="str">
        <f>VLOOKUP(A124*1,Tabla42[[CODIGO]:[UND]],3,0)&amp;"  "&amp;VLOOKUP(A124*1,Tabla42[[CODIGO]:[TIPO]],4,0)</f>
        <v>15  TERMOENCOGIDO</v>
      </c>
      <c r="H124" s="17" t="str">
        <f>VLOOKUP(A124,Tabla42[[CODIGO]:[clase]],5,0)</f>
        <v>A</v>
      </c>
      <c r="I124" s="17" t="s">
        <v>9</v>
      </c>
    </row>
    <row r="125" spans="1:9" x14ac:dyDescent="0.35">
      <c r="A125" s="19">
        <v>40107</v>
      </c>
      <c r="B125" s="20" t="s">
        <v>154</v>
      </c>
      <c r="G125" s="17" t="str">
        <f>VLOOKUP(A125*1,Tabla42[[CODIGO]:[UND]],3,0)&amp;"  "&amp;VLOOKUP(A125*1,Tabla42[[CODIGO]:[TIPO]],4,0)</f>
        <v>15  TERMOENCOGIDO</v>
      </c>
      <c r="H125" s="17" t="str">
        <f>VLOOKUP(A125,Tabla42[[CODIGO]:[clase]],5,0)</f>
        <v>A</v>
      </c>
      <c r="I125" s="17" t="s">
        <v>9</v>
      </c>
    </row>
    <row r="126" spans="1:9" x14ac:dyDescent="0.35">
      <c r="A126" s="21">
        <v>30024</v>
      </c>
      <c r="B126" s="22" t="s">
        <v>19</v>
      </c>
      <c r="G126" s="17" t="str">
        <f>VLOOKUP(A126*1,Tabla42[[CODIGO]:[UND]],3,0)&amp;"  "&amp;VLOOKUP(A126*1,Tabla42[[CODIGO]:[TIPO]],4,0)</f>
        <v>30  TERMOENCOGIDO</v>
      </c>
      <c r="H126" s="17" t="str">
        <f>VLOOKUP(A126,Tabla42[[CODIGO]:[clase]],5,0)</f>
        <v>A</v>
      </c>
      <c r="I126" s="17" t="s">
        <v>9</v>
      </c>
    </row>
    <row r="127" spans="1:9" x14ac:dyDescent="0.35">
      <c r="A127" s="19">
        <v>30024</v>
      </c>
      <c r="B127" s="20" t="s">
        <v>155</v>
      </c>
      <c r="G127" s="17" t="str">
        <f>VLOOKUP(A127*1,Tabla42[[CODIGO]:[UND]],3,0)&amp;"  "&amp;VLOOKUP(A127*1,Tabla42[[CODIGO]:[TIPO]],4,0)</f>
        <v>30  TERMOENCOGIDO</v>
      </c>
      <c r="H127" s="17" t="str">
        <f>VLOOKUP(A127,Tabla42[[CODIGO]:[clase]],5,0)</f>
        <v>A</v>
      </c>
      <c r="I127" s="17" t="s">
        <v>9</v>
      </c>
    </row>
    <row r="128" spans="1:9" x14ac:dyDescent="0.35">
      <c r="A128" s="21">
        <v>30029</v>
      </c>
      <c r="B128" s="22" t="s">
        <v>36</v>
      </c>
      <c r="G128" s="17" t="str">
        <f>VLOOKUP(A128*1,Tabla42[[CODIGO]:[UND]],3,0)&amp;"  "&amp;VLOOKUP(A128*1,Tabla42[[CODIGO]:[TIPO]],4,0)</f>
        <v>30  AMARRADO</v>
      </c>
      <c r="H128" s="17" t="str">
        <f>VLOOKUP(A128,Tabla42[[CODIGO]:[clase]],5,0)</f>
        <v>A</v>
      </c>
      <c r="I128" s="17" t="s">
        <v>9</v>
      </c>
    </row>
    <row r="129" spans="1:9" x14ac:dyDescent="0.35">
      <c r="A129" s="19">
        <v>30030</v>
      </c>
      <c r="B129" s="20" t="s">
        <v>37</v>
      </c>
      <c r="G129" s="17" t="str">
        <f>VLOOKUP(A129*1,Tabla42[[CODIGO]:[UND]],3,0)&amp;"  "&amp;VLOOKUP(A129*1,Tabla42[[CODIGO]:[TIPO]],4,0)</f>
        <v>30  AMARRADO</v>
      </c>
      <c r="H129" s="17" t="str">
        <f>VLOOKUP(A129,Tabla42[[CODIGO]:[clase]],5,0)</f>
        <v>A</v>
      </c>
      <c r="I129" s="17" t="s">
        <v>9</v>
      </c>
    </row>
    <row r="130" spans="1:9" x14ac:dyDescent="0.35">
      <c r="A130" s="21">
        <v>30031</v>
      </c>
      <c r="B130" s="22" t="s">
        <v>39</v>
      </c>
      <c r="C130">
        <v>1</v>
      </c>
      <c r="G130" s="17" t="str">
        <f>VLOOKUP(A130*1,Tabla42[[CODIGO]:[UND]],3,0)&amp;"  "&amp;VLOOKUP(A130*1,Tabla42[[CODIGO]:[TIPO]],4,0)</f>
        <v>30  TERMOENCOGIDO</v>
      </c>
      <c r="H130" s="17" t="str">
        <f>VLOOKUP(A130,Tabla42[[CODIGO]:[clase]],5,0)</f>
        <v>A</v>
      </c>
      <c r="I130" s="17" t="s">
        <v>9</v>
      </c>
    </row>
    <row r="131" spans="1:9" x14ac:dyDescent="0.35">
      <c r="A131" s="19">
        <v>30040</v>
      </c>
      <c r="B131" s="20" t="s">
        <v>59</v>
      </c>
      <c r="G131" s="17" t="str">
        <f>VLOOKUP(A131*1,Tabla42[[CODIGO]:[UND]],3,0)&amp;"  "&amp;VLOOKUP(A131*1,Tabla42[[CODIGO]:[TIPO]],4,0)</f>
        <v>30  AMARRADO</v>
      </c>
      <c r="H131" s="17" t="str">
        <f>VLOOKUP(A131,Tabla42[[CODIGO]:[clase]],5,0)</f>
        <v>A</v>
      </c>
      <c r="I131" s="17" t="s">
        <v>9</v>
      </c>
    </row>
    <row r="132" spans="1:9" x14ac:dyDescent="0.35">
      <c r="A132" s="6">
        <v>40109</v>
      </c>
      <c r="B132" s="23" t="s">
        <v>156</v>
      </c>
      <c r="G132" s="17" t="str">
        <f>VLOOKUP(A132*1,Tabla42[[CODIGO]:[UND]],3,0)&amp;"  "&amp;VLOOKUP(A132*1,Tabla42[[CODIGO]:[TIPO]],4,0)</f>
        <v>45  AMARRADO</v>
      </c>
      <c r="H132" s="17" t="str">
        <f>VLOOKUP(A132,Tabla42[[CODIGO]:[clase]],5,0)</f>
        <v>A</v>
      </c>
      <c r="I132" s="17" t="s">
        <v>9</v>
      </c>
    </row>
    <row r="133" spans="1:9" x14ac:dyDescent="0.35">
      <c r="A133" s="24">
        <v>30036</v>
      </c>
      <c r="B133" s="25" t="s">
        <v>157</v>
      </c>
      <c r="G133" s="17" t="str">
        <f>VLOOKUP(A133*1,Tabla42[[CODIGO]:[UND]],3,0)&amp;"  "&amp;VLOOKUP(A133*1,Tabla42[[CODIGO]:[TIPO]],4,0)</f>
        <v>360  CAJA</v>
      </c>
      <c r="H133" s="17" t="str">
        <f>VLOOKUP(A133,Tabla42[[CODIGO]:[clase]],5,0)</f>
        <v>A</v>
      </c>
      <c r="I133" s="17" t="s">
        <v>9</v>
      </c>
    </row>
    <row r="134" spans="1:9" x14ac:dyDescent="0.35">
      <c r="A134" s="21">
        <v>30035</v>
      </c>
      <c r="B134" s="22" t="s">
        <v>46</v>
      </c>
      <c r="G134" s="17" t="str">
        <f>VLOOKUP(A134*1,Tabla42[[CODIGO]:[UND]],3,0)&amp;"  "&amp;VLOOKUP(A134*1,Tabla42[[CODIGO]:[TIPO]],4,0)</f>
        <v>6  ESTUCHERIA</v>
      </c>
      <c r="H134" s="17" t="str">
        <f>VLOOKUP(A134,Tabla42[[CODIGO]:[clase]],5,0)</f>
        <v>A</v>
      </c>
      <c r="I134" s="17" t="s">
        <v>9</v>
      </c>
    </row>
    <row r="135" spans="1:9" x14ac:dyDescent="0.35">
      <c r="A135" s="19">
        <v>30034</v>
      </c>
      <c r="B135" s="20" t="s">
        <v>45</v>
      </c>
      <c r="G135" s="17" t="str">
        <f>VLOOKUP(A135*1,Tabla42[[CODIGO]:[UND]],3,0)&amp;"  "&amp;VLOOKUP(A135*1,Tabla42[[CODIGO]:[TIPO]],4,0)</f>
        <v>12  ESTUCHERIA</v>
      </c>
      <c r="H135" s="17" t="str">
        <f>VLOOKUP(A135,Tabla42[[CODIGO]:[clase]],5,0)</f>
        <v>A</v>
      </c>
      <c r="I135" s="17" t="s">
        <v>9</v>
      </c>
    </row>
    <row r="136" spans="1:9" x14ac:dyDescent="0.35">
      <c r="A136" s="6">
        <v>40235</v>
      </c>
      <c r="B136" s="23" t="s">
        <v>158</v>
      </c>
      <c r="G136" s="17" t="str">
        <f>VLOOKUP(A136*1,Tabla42[[CODIGO]:[UND]],3,0)&amp;"  "&amp;VLOOKUP(A136*1,Tabla42[[CODIGO]:[TIPO]],4,0)</f>
        <v>12  ESTUCHERIA</v>
      </c>
      <c r="H136" s="17" t="str">
        <f>VLOOKUP(A136,Tabla42[[CODIGO]:[clase]],5,0)</f>
        <v>A</v>
      </c>
      <c r="I136" s="17" t="s">
        <v>9</v>
      </c>
    </row>
    <row r="137" spans="1:9" x14ac:dyDescent="0.35">
      <c r="A137" s="24">
        <v>40271</v>
      </c>
      <c r="B137" s="25" t="s">
        <v>159</v>
      </c>
      <c r="G137" s="17" t="str">
        <f>VLOOKUP(A137*1,Tabla42[[CODIGO]:[UND]],3,0)&amp;"  "&amp;VLOOKUP(A137*1,Tabla42[[CODIGO]:[TIPO]],4,0)</f>
        <v>12  ESTUCHERIA</v>
      </c>
      <c r="H137" s="17" t="str">
        <f>VLOOKUP(A137,Tabla42[[CODIGO]:[clase]],5,0)</f>
        <v>A</v>
      </c>
      <c r="I137" s="17" t="s">
        <v>9</v>
      </c>
    </row>
    <row r="138" spans="1:9" x14ac:dyDescent="0.35">
      <c r="A138" s="6">
        <v>40241</v>
      </c>
      <c r="B138" s="23" t="s">
        <v>160</v>
      </c>
      <c r="G138" s="17" t="str">
        <f>VLOOKUP(A138*1,Tabla42[[CODIGO]:[UND]],3,0)&amp;"  "&amp;VLOOKUP(A138*1,Tabla42[[CODIGO]:[TIPO]],4,0)</f>
        <v>15  AMARRADO</v>
      </c>
      <c r="H138" s="17" t="str">
        <f>VLOOKUP(A138,Tabla42[[CODIGO]:[clase]],5,0)</f>
        <v>A</v>
      </c>
      <c r="I138" s="17" t="s">
        <v>9</v>
      </c>
    </row>
    <row r="139" spans="1:9" x14ac:dyDescent="0.35">
      <c r="A139" s="19">
        <v>30020</v>
      </c>
      <c r="B139" s="20" t="s">
        <v>12</v>
      </c>
      <c r="G139" s="17" t="str">
        <f>VLOOKUP(A139*1,Tabla42[[CODIGO]:[UND]],3,0)&amp;"  "&amp;VLOOKUP(A139*1,Tabla42[[CODIGO]:[TIPO]],4,0)</f>
        <v>30  AMARRADO</v>
      </c>
      <c r="H139" s="17" t="str">
        <f>VLOOKUP(A139,Tabla42[[CODIGO]:[clase]],5,0)</f>
        <v>A</v>
      </c>
      <c r="I139" s="17" t="s">
        <v>9</v>
      </c>
    </row>
    <row r="140" spans="1:9" x14ac:dyDescent="0.35">
      <c r="A140" s="21">
        <v>30021</v>
      </c>
      <c r="B140" s="22" t="s">
        <v>13</v>
      </c>
      <c r="G140" s="17" t="str">
        <f>VLOOKUP(A140*1,Tabla42[[CODIGO]:[UND]],3,0)&amp;"  "&amp;VLOOKUP(A140*1,Tabla42[[CODIGO]:[TIPO]],4,0)</f>
        <v>30  AMARRADO</v>
      </c>
      <c r="H140" s="17" t="str">
        <f>VLOOKUP(A140,Tabla42[[CODIGO]:[clase]],5,0)</f>
        <v>A</v>
      </c>
      <c r="I140" s="17" t="s">
        <v>9</v>
      </c>
    </row>
    <row r="141" spans="1:9" x14ac:dyDescent="0.35">
      <c r="A141" s="24">
        <v>40092</v>
      </c>
      <c r="B141" s="25" t="s">
        <v>161</v>
      </c>
      <c r="G141" s="17" t="str">
        <f>VLOOKUP(A141*1,Tabla42[[CODIGO]:[UND]],3,0)&amp;"  "&amp;VLOOKUP(A141*1,Tabla42[[CODIGO]:[TIPO]],4,0)</f>
        <v>30  AMARRADO</v>
      </c>
      <c r="H141" s="17" t="str">
        <f>VLOOKUP(A141,Tabla42[[CODIGO]:[clase]],5,0)</f>
        <v>A</v>
      </c>
      <c r="I141" s="17" t="s">
        <v>9</v>
      </c>
    </row>
    <row r="142" spans="1:9" x14ac:dyDescent="0.35">
      <c r="A142" s="6">
        <v>40240</v>
      </c>
      <c r="B142" s="23" t="s">
        <v>162</v>
      </c>
      <c r="G142" s="17" t="str">
        <f>VLOOKUP(A142*1,Tabla42[[CODIGO]:[UND]],3,0)&amp;"  "&amp;VLOOKUP(A142*1,Tabla42[[CODIGO]:[TIPO]],4,0)</f>
        <v>30  TERMOENCOGIDO</v>
      </c>
      <c r="H142" s="17" t="str">
        <f>VLOOKUP(A142,Tabla42[[CODIGO]:[clase]],5,0)</f>
        <v>A</v>
      </c>
      <c r="I142" s="17" t="s">
        <v>9</v>
      </c>
    </row>
    <row r="143" spans="1:9" x14ac:dyDescent="0.35">
      <c r="A143" s="24">
        <v>40242</v>
      </c>
      <c r="B143" s="25" t="s">
        <v>163</v>
      </c>
      <c r="G143" s="17" t="str">
        <f>VLOOKUP(A143*1,Tabla42[[CODIGO]:[UND]],3,0)&amp;"  "&amp;VLOOKUP(A143*1,Tabla42[[CODIGO]:[TIPO]],4,0)</f>
        <v>30  AMARRADO</v>
      </c>
      <c r="H143" s="17" t="str">
        <f>VLOOKUP(A143,Tabla42[[CODIGO]:[clase]],5,0)</f>
        <v>A</v>
      </c>
      <c r="I143" s="17" t="s">
        <v>9</v>
      </c>
    </row>
    <row r="144" spans="1:9" x14ac:dyDescent="0.35">
      <c r="A144" s="21">
        <v>40008</v>
      </c>
      <c r="B144" s="22" t="s">
        <v>129</v>
      </c>
      <c r="G144" s="17" t="str">
        <f>VLOOKUP(A144*1,Tabla42[[CODIGO]:[UND]],3,0)&amp;"  "&amp;VLOOKUP(A144*1,Tabla42[[CODIGO]:[TIPO]],4,0)</f>
        <v>1  SUELTO</v>
      </c>
      <c r="H144" s="17" t="str">
        <f>VLOOKUP(A144,Tabla42[[CODIGO]:[clase]],5,0)</f>
        <v>AA</v>
      </c>
      <c r="I144" s="17" t="s">
        <v>9</v>
      </c>
    </row>
    <row r="145" spans="1:9" x14ac:dyDescent="0.35">
      <c r="A145" s="19">
        <v>30058</v>
      </c>
      <c r="B145" s="20" t="s">
        <v>164</v>
      </c>
      <c r="G145" s="17" t="str">
        <f>VLOOKUP(A145*1,Tabla42[[CODIGO]:[UND]],3,0)&amp;"  "&amp;VLOOKUP(A145*1,Tabla42[[CODIGO]:[TIPO]],4,0)</f>
        <v>1  SUELTO</v>
      </c>
      <c r="H145" s="17" t="str">
        <f>VLOOKUP(A145,Tabla42[[CODIGO]:[clase]],5,0)</f>
        <v>AA</v>
      </c>
      <c r="I145" s="17" t="s">
        <v>9</v>
      </c>
    </row>
    <row r="146" spans="1:9" x14ac:dyDescent="0.35">
      <c r="A146" s="21">
        <v>30048</v>
      </c>
      <c r="B146" s="22" t="s">
        <v>79</v>
      </c>
      <c r="G146" s="17" t="str">
        <f>VLOOKUP(A146*1,Tabla42[[CODIGO]:[UND]],3,0)&amp;"  "&amp;VLOOKUP(A146*1,Tabla42[[CODIGO]:[TIPO]],4,0)</f>
        <v>6  ESTUCHERIA</v>
      </c>
      <c r="H146" s="17" t="str">
        <f>VLOOKUP(A146,Tabla42[[CODIGO]:[clase]],5,0)</f>
        <v>AA</v>
      </c>
      <c r="I146" s="17" t="s">
        <v>9</v>
      </c>
    </row>
    <row r="147" spans="1:9" x14ac:dyDescent="0.35">
      <c r="A147" s="19">
        <v>30019</v>
      </c>
      <c r="B147" s="20" t="s">
        <v>11</v>
      </c>
      <c r="G147" s="17" t="str">
        <f>VLOOKUP(A147*1,Tabla42[[CODIGO]:[UND]],3,0)&amp;"  "&amp;VLOOKUP(A147*1,Tabla42[[CODIGO]:[TIPO]],4,0)</f>
        <v>12  ESTUCHERIA</v>
      </c>
      <c r="H147" s="17" t="str">
        <f>VLOOKUP(A147,Tabla42[[CODIGO]:[clase]],5,0)</f>
        <v>AA</v>
      </c>
      <c r="I147" s="17" t="s">
        <v>9</v>
      </c>
    </row>
    <row r="148" spans="1:9" x14ac:dyDescent="0.35">
      <c r="A148" s="21">
        <v>30043</v>
      </c>
      <c r="B148" s="22" t="s">
        <v>50</v>
      </c>
      <c r="G148" s="17" t="str">
        <f>VLOOKUP(A148*1,Tabla42[[CODIGO]:[UND]],3,0)&amp;"  "&amp;VLOOKUP(A148*1,Tabla42[[CODIGO]:[TIPO]],4,0)</f>
        <v>12  ESTUCHERIA</v>
      </c>
      <c r="H148" s="17" t="str">
        <f>VLOOKUP(A148,Tabla42[[CODIGO]:[clase]],5,0)</f>
        <v>AA</v>
      </c>
      <c r="I148" s="17" t="s">
        <v>9</v>
      </c>
    </row>
    <row r="149" spans="1:9" x14ac:dyDescent="0.35">
      <c r="A149" s="19">
        <v>30044</v>
      </c>
      <c r="B149" s="20" t="s">
        <v>68</v>
      </c>
      <c r="G149" s="17" t="str">
        <f>VLOOKUP(A149*1,Tabla42[[CODIGO]:[UND]],3,0)&amp;"  "&amp;VLOOKUP(A149*1,Tabla42[[CODIGO]:[TIPO]],4,0)</f>
        <v>15  AMARRADO</v>
      </c>
      <c r="H149" s="17" t="str">
        <f>VLOOKUP(A149,Tabla42[[CODIGO]:[clase]],5,0)</f>
        <v>AA</v>
      </c>
      <c r="I149" s="17" t="s">
        <v>9</v>
      </c>
    </row>
    <row r="150" spans="1:9" x14ac:dyDescent="0.35">
      <c r="A150" s="21">
        <v>30045</v>
      </c>
      <c r="B150" s="22" t="s">
        <v>71</v>
      </c>
      <c r="G150" s="17" t="str">
        <f>VLOOKUP(A150*1,Tabla42[[CODIGO]:[UND]],3,0)&amp;"  "&amp;VLOOKUP(A150*1,Tabla42[[CODIGO]:[TIPO]],4,0)</f>
        <v>15  TERMOENCOGIDO</v>
      </c>
      <c r="H150" s="17" t="str">
        <f>VLOOKUP(A150,Tabla42[[CODIGO]:[clase]],5,0)</f>
        <v>AA</v>
      </c>
      <c r="I150" s="17" t="s">
        <v>9</v>
      </c>
    </row>
    <row r="151" spans="1:9" x14ac:dyDescent="0.35">
      <c r="A151" s="19">
        <v>40105</v>
      </c>
      <c r="B151" s="20" t="s">
        <v>165</v>
      </c>
      <c r="G151" s="17" t="str">
        <f>VLOOKUP(A151*1,Tabla42[[CODIGO]:[UND]],3,0)&amp;"  "&amp;VLOOKUP(A151*1,Tabla42[[CODIGO]:[TIPO]],4,0)</f>
        <v>15  TERMOENCOGIDO</v>
      </c>
      <c r="H151" s="17" t="str">
        <f>VLOOKUP(A151,Tabla42[[CODIGO]:[clase]],5,0)</f>
        <v>AA</v>
      </c>
      <c r="I151" s="17" t="s">
        <v>9</v>
      </c>
    </row>
    <row r="152" spans="1:9" x14ac:dyDescent="0.35">
      <c r="A152" s="21">
        <v>30018</v>
      </c>
      <c r="B152" s="22" t="s">
        <v>7</v>
      </c>
      <c r="G152" s="17" t="str">
        <f>VLOOKUP(A152*1,Tabla42[[CODIGO]:[UND]],3,0)&amp;"  "&amp;VLOOKUP(A152*1,Tabla42[[CODIGO]:[TIPO]],4,0)</f>
        <v>30  TERMOENCOGIDO</v>
      </c>
      <c r="H152" s="17" t="str">
        <f>VLOOKUP(A152,Tabla42[[CODIGO]:[clase]],5,0)</f>
        <v>AA</v>
      </c>
      <c r="I152" s="17" t="s">
        <v>9</v>
      </c>
    </row>
    <row r="153" spans="1:9" x14ac:dyDescent="0.35">
      <c r="A153" s="19">
        <v>30046</v>
      </c>
      <c r="B153" s="20" t="s">
        <v>73</v>
      </c>
      <c r="G153" s="17" t="str">
        <f>VLOOKUP(A153*1,Tabla42[[CODIGO]:[UND]],3,0)&amp;"  "&amp;VLOOKUP(A153*1,Tabla42[[CODIGO]:[TIPO]],4,0)</f>
        <v>30  AMARRADO</v>
      </c>
      <c r="H153" s="17" t="str">
        <f>VLOOKUP(A153,Tabla42[[CODIGO]:[clase]],5,0)</f>
        <v>AA</v>
      </c>
      <c r="I153" s="17" t="s">
        <v>9</v>
      </c>
    </row>
    <row r="154" spans="1:9" x14ac:dyDescent="0.35">
      <c r="A154" s="21">
        <v>30047</v>
      </c>
      <c r="B154" s="22" t="s">
        <v>76</v>
      </c>
      <c r="G154" s="17" t="str">
        <f>VLOOKUP(A154*1,Tabla42[[CODIGO]:[UND]],3,0)&amp;"  "&amp;VLOOKUP(A154*1,Tabla42[[CODIGO]:[TIPO]],4,0)</f>
        <v>30  TERMOENCOGIDO</v>
      </c>
      <c r="H154" s="17" t="str">
        <f>VLOOKUP(A154,Tabla42[[CODIGO]:[clase]],5,0)</f>
        <v>AA</v>
      </c>
      <c r="I154" s="17" t="s">
        <v>9</v>
      </c>
    </row>
    <row r="155" spans="1:9" x14ac:dyDescent="0.35">
      <c r="A155" s="29">
        <v>40112</v>
      </c>
      <c r="B155" s="25" t="s">
        <v>166</v>
      </c>
      <c r="G155" s="17" t="str">
        <f>VLOOKUP(A155*1,Tabla42[[CODIGO]:[UND]],3,0)&amp;"  "&amp;VLOOKUP(A155*1,Tabla42[[CODIGO]:[TIPO]],4,0)</f>
        <v>45  AMARRADO</v>
      </c>
      <c r="H155" s="17" t="str">
        <f>VLOOKUP(A155,Tabla42[[CODIGO]:[clase]],5,0)</f>
        <v>AA</v>
      </c>
      <c r="I155" s="17" t="s">
        <v>9</v>
      </c>
    </row>
    <row r="156" spans="1:9" x14ac:dyDescent="0.35">
      <c r="A156" s="26">
        <v>40327</v>
      </c>
      <c r="B156" s="22" t="s">
        <v>167</v>
      </c>
      <c r="G156" s="17" t="str">
        <f>VLOOKUP(A156*1,Tabla42[[CODIGO]:[UND]],3,0)&amp;"  "&amp;VLOOKUP(A156*1,Tabla42[[CODIGO]:[TIPO]],4,0)</f>
        <v>60  AMARRADO</v>
      </c>
      <c r="H156" s="17" t="str">
        <f>VLOOKUP(A156,Tabla42[[CODIGO]:[clase]],5,0)</f>
        <v>AA</v>
      </c>
      <c r="I156" s="17" t="s">
        <v>9</v>
      </c>
    </row>
    <row r="157" spans="1:9" x14ac:dyDescent="0.35">
      <c r="A157" s="24">
        <v>40237</v>
      </c>
      <c r="B157" s="25" t="s">
        <v>168</v>
      </c>
      <c r="G157" s="17" t="str">
        <f>VLOOKUP(A157*1,Tabla42[[CODIGO]:[UND]],3,0)&amp;"  "&amp;VLOOKUP(A157*1,Tabla42[[CODIGO]:[TIPO]],4,0)</f>
        <v>12  ESTUCHERIA</v>
      </c>
      <c r="H157" s="17" t="str">
        <f>VLOOKUP(A157,Tabla42[[CODIGO]:[clase]],5,0)</f>
        <v>AA</v>
      </c>
      <c r="I157" s="17" t="s">
        <v>9</v>
      </c>
    </row>
    <row r="158" spans="1:9" x14ac:dyDescent="0.35">
      <c r="A158" s="6">
        <v>40239</v>
      </c>
      <c r="B158" s="23" t="s">
        <v>169</v>
      </c>
      <c r="G158" s="17" t="str">
        <f>VLOOKUP(A158*1,Tabla42[[CODIGO]:[UND]],3,0)&amp;"  "&amp;VLOOKUP(A158*1,Tabla42[[CODIGO]:[TIPO]],4,0)</f>
        <v>30  TERMOENCOGIDO</v>
      </c>
      <c r="H158" s="17" t="str">
        <f>VLOOKUP(A158,Tabla42[[CODIGO]:[clase]],5,0)</f>
        <v>AA</v>
      </c>
      <c r="I158" s="17" t="s">
        <v>9</v>
      </c>
    </row>
    <row r="159" spans="1:9" x14ac:dyDescent="0.35">
      <c r="A159" s="19">
        <v>40002</v>
      </c>
      <c r="B159" s="20" t="s">
        <v>109</v>
      </c>
      <c r="G159" s="17" t="str">
        <f>VLOOKUP(A159*1,Tabla42[[CODIGO]:[UND]],3,0)&amp;"  "&amp;VLOOKUP(A159*1,Tabla42[[CODIGO]:[TIPO]],4,0)</f>
        <v>1  SUELTO</v>
      </c>
      <c r="H159" s="17" t="str">
        <f>VLOOKUP(A159,Tabla42[[CODIGO]:[clase]],5,0)</f>
        <v>AAA</v>
      </c>
      <c r="I159" s="17" t="s">
        <v>9</v>
      </c>
    </row>
    <row r="160" spans="1:9" x14ac:dyDescent="0.35">
      <c r="A160" s="21">
        <v>30049</v>
      </c>
      <c r="B160" s="22" t="s">
        <v>82</v>
      </c>
      <c r="G160" s="17" t="str">
        <f>VLOOKUP(A160*1,Tabla42[[CODIGO]:[UND]],3,0)&amp;"  "&amp;VLOOKUP(A160*1,Tabla42[[CODIGO]:[TIPO]],4,0)</f>
        <v>12  ESTUCHERIA</v>
      </c>
      <c r="H160" s="17" t="str">
        <f>VLOOKUP(A160,Tabla42[[CODIGO]:[clase]],5,0)</f>
        <v>AAA</v>
      </c>
      <c r="I160" s="17" t="s">
        <v>9</v>
      </c>
    </row>
    <row r="161" spans="1:9" x14ac:dyDescent="0.35">
      <c r="A161" s="19">
        <v>30050</v>
      </c>
      <c r="B161" s="20" t="s">
        <v>86</v>
      </c>
      <c r="G161" s="17" t="str">
        <f>VLOOKUP(A161*1,Tabla42[[CODIGO]:[UND]],3,0)&amp;"  "&amp;VLOOKUP(A161*1,Tabla42[[CODIGO]:[TIPO]],4,0)</f>
        <v>15  AMARRADO</v>
      </c>
      <c r="H161" s="17" t="str">
        <f>VLOOKUP(A161,Tabla42[[CODIGO]:[clase]],5,0)</f>
        <v>AAA</v>
      </c>
      <c r="I161" s="17" t="s">
        <v>9</v>
      </c>
    </row>
    <row r="162" spans="1:9" x14ac:dyDescent="0.35">
      <c r="A162" s="21">
        <v>30051</v>
      </c>
      <c r="B162" s="22" t="s">
        <v>87</v>
      </c>
      <c r="G162" s="17" t="str">
        <f>VLOOKUP(A162*1,Tabla42[[CODIGO]:[UND]],3,0)&amp;"  "&amp;VLOOKUP(A162*1,Tabla42[[CODIGO]:[TIPO]],4,0)</f>
        <v>15  TERMOENCOGIDO</v>
      </c>
      <c r="H162" s="17" t="str">
        <f>VLOOKUP(A162,Tabla42[[CODIGO]:[clase]],5,0)</f>
        <v>AAA</v>
      </c>
      <c r="I162" s="17" t="s">
        <v>9</v>
      </c>
    </row>
    <row r="163" spans="1:9" x14ac:dyDescent="0.35">
      <c r="A163" s="19">
        <v>30052</v>
      </c>
      <c r="B163" s="20" t="s">
        <v>90</v>
      </c>
      <c r="G163" s="17" t="str">
        <f>VLOOKUP(A163*1,Tabla42[[CODIGO]:[UND]],3,0)&amp;"  "&amp;VLOOKUP(A163*1,Tabla42[[CODIGO]:[TIPO]],4,0)</f>
        <v>30  AMARRADO</v>
      </c>
      <c r="H163" s="17" t="str">
        <f>VLOOKUP(A163,Tabla42[[CODIGO]:[clase]],5,0)</f>
        <v>AAA</v>
      </c>
      <c r="I163" s="17" t="s">
        <v>9</v>
      </c>
    </row>
    <row r="164" spans="1:9" x14ac:dyDescent="0.35">
      <c r="A164" s="21">
        <v>30053</v>
      </c>
      <c r="B164" s="22" t="s">
        <v>91</v>
      </c>
      <c r="G164" s="17" t="str">
        <f>VLOOKUP(A164*1,Tabla42[[CODIGO]:[UND]],3,0)&amp;"  "&amp;VLOOKUP(A164*1,Tabla42[[CODIGO]:[TIPO]],4,0)</f>
        <v>30  TERMOENCOGIDO</v>
      </c>
      <c r="H164" s="17" t="str">
        <f>VLOOKUP(A164,Tabla42[[CODIGO]:[clase]],5,0)</f>
        <v>AAA</v>
      </c>
      <c r="I164" s="17" t="s">
        <v>9</v>
      </c>
    </row>
    <row r="165" spans="1:9" x14ac:dyDescent="0.35">
      <c r="A165" s="19">
        <v>40265</v>
      </c>
      <c r="B165" s="20" t="s">
        <v>170</v>
      </c>
      <c r="G165" s="17" t="str">
        <f>VLOOKUP(A165*1,Tabla42[[CODIGO]:[UND]],3,0)&amp;"  "&amp;VLOOKUP(A165*1,Tabla42[[CODIGO]:[TIPO]],4,0)</f>
        <v>30  TERMOENCOGIDO</v>
      </c>
      <c r="H165" s="17" t="str">
        <f>VLOOKUP(A165,Tabla42[[CODIGO]:[clase]],5,0)</f>
        <v>AAA</v>
      </c>
      <c r="I165" s="17" t="s">
        <v>9</v>
      </c>
    </row>
    <row r="166" spans="1:9" x14ac:dyDescent="0.35">
      <c r="A166" s="21">
        <v>30032</v>
      </c>
      <c r="B166" s="22" t="s">
        <v>41</v>
      </c>
      <c r="G166" s="17" t="str">
        <f>VLOOKUP(A166*1,Tabla42[[CODIGO]:[UND]],3,0)&amp;"  "&amp;VLOOKUP(A166*1,Tabla42[[CODIGO]:[TIPO]],4,0)</f>
        <v>12  ESTUCHERIA</v>
      </c>
      <c r="H166" s="17" t="str">
        <f>VLOOKUP(A166,Tabla42[[CODIGO]:[clase]],5,0)</f>
        <v>AA-A</v>
      </c>
      <c r="I166" s="17" t="s">
        <v>9</v>
      </c>
    </row>
    <row r="167" spans="1:9" x14ac:dyDescent="0.35">
      <c r="A167" s="19">
        <v>40134</v>
      </c>
      <c r="B167" s="20" t="s">
        <v>171</v>
      </c>
      <c r="G167" s="17" t="str">
        <f>VLOOKUP(A167*1,Tabla42[[CODIGO]:[UND]],3,0)&amp;"  "&amp;VLOOKUP(A167*1,Tabla42[[CODIGO]:[TIPO]],4,0)</f>
        <v>12  ESTUCHERIA</v>
      </c>
      <c r="H167" s="17" t="str">
        <f>VLOOKUP(A167,Tabla42[[CODIGO]:[clase]],5,0)</f>
        <v>AA-A</v>
      </c>
      <c r="I167" s="17" t="s">
        <v>9</v>
      </c>
    </row>
    <row r="168" spans="1:9" x14ac:dyDescent="0.35">
      <c r="A168" s="21">
        <v>40135</v>
      </c>
      <c r="B168" s="22" t="s">
        <v>172</v>
      </c>
      <c r="G168" s="17" t="str">
        <f>VLOOKUP(A168*1,Tabla42[[CODIGO]:[UND]],3,0)&amp;"  "&amp;VLOOKUP(A168*1,Tabla42[[CODIGO]:[TIPO]],4,0)</f>
        <v>12  ESTUCHERIA</v>
      </c>
      <c r="H168" s="17" t="str">
        <f>VLOOKUP(A168,Tabla42[[CODIGO]:[clase]],5,0)</f>
        <v>AA-A</v>
      </c>
      <c r="I168" s="17" t="s">
        <v>9</v>
      </c>
    </row>
    <row r="169" spans="1:9" x14ac:dyDescent="0.35">
      <c r="A169" s="19">
        <v>40136</v>
      </c>
      <c r="B169" s="20" t="s">
        <v>173</v>
      </c>
      <c r="G169" s="17" t="str">
        <f>VLOOKUP(A169*1,Tabla42[[CODIGO]:[UND]],3,0)&amp;"  "&amp;VLOOKUP(A169*1,Tabla42[[CODIGO]:[TIPO]],4,0)</f>
        <v>12  ESTUCHERIA</v>
      </c>
      <c r="H169" s="17" t="str">
        <f>VLOOKUP(A169,Tabla42[[CODIGO]:[clase]],5,0)</f>
        <v>AA-A</v>
      </c>
      <c r="I169" s="17" t="s">
        <v>9</v>
      </c>
    </row>
    <row r="170" spans="1:9" x14ac:dyDescent="0.35">
      <c r="A170" s="21">
        <v>40137</v>
      </c>
      <c r="B170" s="22" t="s">
        <v>174</v>
      </c>
      <c r="G170" s="17" t="str">
        <f>VLOOKUP(A170*1,Tabla42[[CODIGO]:[UND]],3,0)&amp;"  "&amp;VLOOKUP(A170*1,Tabla42[[CODIGO]:[TIPO]],4,0)</f>
        <v>12  ESTUCHERIA</v>
      </c>
      <c r="H170" s="17" t="str">
        <f>VLOOKUP(A170,Tabla42[[CODIGO]:[clase]],5,0)</f>
        <v>AA-A</v>
      </c>
      <c r="I170" s="17" t="s">
        <v>9</v>
      </c>
    </row>
    <row r="171" spans="1:9" x14ac:dyDescent="0.35">
      <c r="A171" s="24">
        <v>40254</v>
      </c>
      <c r="B171" s="25" t="s">
        <v>175</v>
      </c>
      <c r="G171" s="17" t="str">
        <f>VLOOKUP(A171*1,Tabla42[[CODIGO]:[UND]],3,0)&amp;"  "&amp;VLOOKUP(A171*1,Tabla42[[CODIGO]:[TIPO]],4,0)</f>
        <v>12  ESTUCHERIA</v>
      </c>
      <c r="H171" s="17" t="str">
        <f>VLOOKUP(A171,Tabla42[[CODIGO]:[clase]],5,0)</f>
        <v>AA-A</v>
      </c>
      <c r="I171" s="17" t="s">
        <v>9</v>
      </c>
    </row>
    <row r="172" spans="1:9" x14ac:dyDescent="0.35">
      <c r="A172" s="21">
        <v>40003</v>
      </c>
      <c r="B172" s="22" t="s">
        <v>113</v>
      </c>
      <c r="G172" s="17" t="str">
        <f>VLOOKUP(A172*1,Tabla42[[CODIGO]:[UND]],3,0)&amp;"  "&amp;VLOOKUP(A172*1,Tabla42[[CODIGO]:[TIPO]],4,0)</f>
        <v>1  SUELTO</v>
      </c>
      <c r="H172" s="17" t="str">
        <f>VLOOKUP(A172,Tabla42[[CODIGO]:[clase]],5,0)</f>
        <v>AAAA</v>
      </c>
      <c r="I172" s="17" t="s">
        <v>9</v>
      </c>
    </row>
    <row r="173" spans="1:9" x14ac:dyDescent="0.35">
      <c r="A173" s="19">
        <v>30054</v>
      </c>
      <c r="B173" s="20" t="s">
        <v>94</v>
      </c>
      <c r="G173" s="17" t="str">
        <f>VLOOKUP(A173*1,Tabla42[[CODIGO]:[UND]],3,0)&amp;"  "&amp;VLOOKUP(A173*1,Tabla42[[CODIGO]:[TIPO]],4,0)</f>
        <v>20  TERMOENCOGIDO</v>
      </c>
      <c r="H173" s="17" t="str">
        <f>VLOOKUP(A173,Tabla42[[CODIGO]:[clase]],5,0)</f>
        <v>AAAA</v>
      </c>
      <c r="I173" s="17" t="s">
        <v>9</v>
      </c>
    </row>
    <row r="174" spans="1:9" x14ac:dyDescent="0.35">
      <c r="A174" s="6">
        <v>40205</v>
      </c>
      <c r="B174" s="23" t="s">
        <v>176</v>
      </c>
      <c r="G174" s="17" t="str">
        <f>VLOOKUP(A174*1,Tabla42[[CODIGO]:[UND]],3,0)&amp;"  "&amp;VLOOKUP(A174*1,Tabla42[[CODIGO]:[TIPO]],4,0)</f>
        <v>20  TERMOENCOGIDO</v>
      </c>
      <c r="H174" s="17" t="str">
        <f>VLOOKUP(A174,Tabla42[[CODIGO]:[clase]],5,0)</f>
        <v>AAAA</v>
      </c>
      <c r="I174" s="17" t="s">
        <v>9</v>
      </c>
    </row>
    <row r="175" spans="1:9" x14ac:dyDescent="0.35">
      <c r="A175" s="19">
        <v>40004</v>
      </c>
      <c r="B175" s="20" t="s">
        <v>117</v>
      </c>
      <c r="G175" s="17" t="str">
        <f>VLOOKUP(A175*1,Tabla42[[CODIGO]:[UND]],3,0)&amp;"  "&amp;VLOOKUP(A175*1,Tabla42[[CODIGO]:[TIPO]],4,0)</f>
        <v>1  SUELTO</v>
      </c>
      <c r="H175" s="17" t="str">
        <f>VLOOKUP(A175,Tabla42[[CODIGO]:[clase]],5,0)</f>
        <v>B</v>
      </c>
      <c r="I175" s="17" t="s">
        <v>9</v>
      </c>
    </row>
    <row r="176" spans="1:9" x14ac:dyDescent="0.35">
      <c r="A176" s="21">
        <v>30055</v>
      </c>
      <c r="B176" s="22" t="s">
        <v>98</v>
      </c>
      <c r="G176" s="17" t="str">
        <f>VLOOKUP(A176*1,Tabla42[[CODIGO]:[UND]],3,0)&amp;"  "&amp;VLOOKUP(A176*1,Tabla42[[CODIGO]:[TIPO]],4,0)</f>
        <v>15  AMARRADO</v>
      </c>
      <c r="H176" s="17" t="str">
        <f>VLOOKUP(A176,Tabla42[[CODIGO]:[clase]],5,0)</f>
        <v>B</v>
      </c>
      <c r="I176" s="17" t="s">
        <v>9</v>
      </c>
    </row>
    <row r="177" spans="1:9" x14ac:dyDescent="0.35">
      <c r="A177" s="19">
        <v>30056</v>
      </c>
      <c r="B177" s="20" t="s">
        <v>101</v>
      </c>
      <c r="G177" s="17" t="str">
        <f>VLOOKUP(A177*1,Tabla42[[CODIGO]:[UND]],3,0)&amp;"  "&amp;VLOOKUP(A177*1,Tabla42[[CODIGO]:[TIPO]],4,0)</f>
        <v>30  AMARRADO</v>
      </c>
      <c r="H177" s="17" t="str">
        <f>VLOOKUP(A177,Tabla42[[CODIGO]:[clase]],5,0)</f>
        <v>B</v>
      </c>
      <c r="I177" s="17" t="s">
        <v>9</v>
      </c>
    </row>
    <row r="178" spans="1:9" x14ac:dyDescent="0.35">
      <c r="A178" s="21">
        <v>30059</v>
      </c>
      <c r="B178" s="22" t="s">
        <v>177</v>
      </c>
      <c r="G178" s="17" t="str">
        <f>VLOOKUP(A178*1,Tabla42[[CODIGO]:[UND]],3,0)&amp;"  "&amp;VLOOKUP(A178*1,Tabla42[[CODIGO]:[TIPO]],4,0)</f>
        <v>1  SUELTO</v>
      </c>
      <c r="H178" s="17" t="str">
        <f>VLOOKUP(A178,Tabla42[[CODIGO]:[clase]],5,0)</f>
        <v>B</v>
      </c>
      <c r="I178" s="17" t="s">
        <v>9</v>
      </c>
    </row>
    <row r="179" spans="1:9" x14ac:dyDescent="0.35">
      <c r="A179" s="19">
        <v>30022</v>
      </c>
      <c r="B179" s="20" t="s">
        <v>14</v>
      </c>
      <c r="G179" s="17" t="str">
        <f>VLOOKUP(A179*1,Tabla42[[CODIGO]:[UND]],3,0)&amp;"  "&amp;VLOOKUP(A179*1,Tabla42[[CODIGO]:[TIPO]],4,0)</f>
        <v>30  AMARRADO</v>
      </c>
      <c r="H179" s="17" t="str">
        <f>VLOOKUP(A179,Tabla42[[CODIGO]:[clase]],5,0)</f>
        <v>B</v>
      </c>
      <c r="I179" s="17" t="s">
        <v>9</v>
      </c>
    </row>
    <row r="180" spans="1:9" x14ac:dyDescent="0.35">
      <c r="A180" s="21">
        <v>40005</v>
      </c>
      <c r="B180" s="22" t="s">
        <v>121</v>
      </c>
      <c r="G180" s="17" t="str">
        <f>VLOOKUP(A180*1,Tabla42[[CODIGO]:[UND]],3,0)&amp;"  "&amp;VLOOKUP(A180*1,Tabla42[[CODIGO]:[TIPO]],4,0)</f>
        <v>1  SUELTO</v>
      </c>
      <c r="H180" s="17" t="str">
        <f>VLOOKUP(A180,Tabla42[[CODIGO]:[clase]],5,0)</f>
        <v>C</v>
      </c>
      <c r="I180" s="17" t="s">
        <v>9</v>
      </c>
    </row>
    <row r="181" spans="1:9" x14ac:dyDescent="0.35">
      <c r="A181" s="19">
        <v>30025</v>
      </c>
      <c r="B181" s="20" t="s">
        <v>21</v>
      </c>
      <c r="G181" s="17" t="str">
        <f>VLOOKUP(A181*1,Tabla42[[CODIGO]:[UND]],3,0)&amp;"  "&amp;VLOOKUP(A181*1,Tabla42[[CODIGO]:[TIPO]],4,0)</f>
        <v>30  AMARRADO</v>
      </c>
      <c r="H181" s="17" t="str">
        <f>VLOOKUP(A181,Tabla42[[CODIGO]:[clase]],5,0)</f>
        <v>C</v>
      </c>
      <c r="I181" s="17" t="s">
        <v>9</v>
      </c>
    </row>
    <row r="182" spans="1:9" x14ac:dyDescent="0.35">
      <c r="A182" s="21">
        <v>10000</v>
      </c>
      <c r="B182" s="22" t="s">
        <v>133</v>
      </c>
      <c r="G182" s="17" t="str">
        <f>VLOOKUP(A182*1,Tabla42[[CODIGO]:[UND]],3,0)&amp;"  "&amp;VLOOKUP(A182*1,Tabla42[[CODIGO]:[TIPO]],4,0)</f>
        <v>1  SUELTO</v>
      </c>
      <c r="H182" s="17" t="str">
        <f>VLOOKUP(A182,Tabla42[[CODIGO]:[clase]],5,0)</f>
        <v>SUELTO</v>
      </c>
      <c r="I182" s="17" t="s">
        <v>9</v>
      </c>
    </row>
    <row r="183" spans="1:9" x14ac:dyDescent="0.35">
      <c r="A183" s="19">
        <v>30026</v>
      </c>
      <c r="B183" s="20" t="s">
        <v>25</v>
      </c>
      <c r="G183" s="17" t="str">
        <f>VLOOKUP(A183*1,Tabla42[[CODIGO]:[UND]],3,0)&amp;"  "&amp;VLOOKUP(A183*1,Tabla42[[CODIGO]:[TIPO]],4,0)</f>
        <v>1  SUELTO</v>
      </c>
      <c r="H183" s="17" t="str">
        <f>VLOOKUP(A183,Tabla42[[CODIGO]:[clase]],5,0)</f>
        <v>SUCIO</v>
      </c>
      <c r="I183" s="17" t="s">
        <v>9</v>
      </c>
    </row>
    <row r="184" spans="1:9" x14ac:dyDescent="0.35">
      <c r="A184" s="21">
        <v>30027</v>
      </c>
      <c r="B184" s="22" t="s">
        <v>29</v>
      </c>
      <c r="G184" s="17" t="str">
        <f>VLOOKUP(A184*1,Tabla42[[CODIGO]:[UND]],3,0)&amp;"  "&amp;VLOOKUP(A184*1,Tabla42[[CODIGO]:[TIPO]],4,0)</f>
        <v>1  SUELTO</v>
      </c>
      <c r="H184" s="17" t="str">
        <f>VLOOKUP(A184,Tabla42[[CODIGO]:[clase]],5,0)</f>
        <v>SUCIO</v>
      </c>
      <c r="I184" s="17" t="s">
        <v>9</v>
      </c>
    </row>
    <row r="185" spans="1:9" x14ac:dyDescent="0.35">
      <c r="A185" s="19">
        <v>30028</v>
      </c>
      <c r="B185" s="20" t="s">
        <v>33</v>
      </c>
      <c r="G185" s="17" t="str">
        <f>VLOOKUP(A185*1,Tabla42[[CODIGO]:[UND]],3,0)&amp;"  "&amp;VLOOKUP(A185*1,Tabla42[[CODIGO]:[TIPO]],4,0)</f>
        <v>1  SUELTO</v>
      </c>
      <c r="H185" s="17" t="str">
        <f>VLOOKUP(A185,Tabla42[[CODIGO]:[clase]],5,0)</f>
        <v>PICADO</v>
      </c>
      <c r="I185" s="17" t="s">
        <v>9</v>
      </c>
    </row>
    <row r="186" spans="1:9" x14ac:dyDescent="0.35">
      <c r="A186" s="21">
        <v>30033</v>
      </c>
      <c r="B186" s="22" t="s">
        <v>33</v>
      </c>
      <c r="G186" s="17" t="str">
        <f>VLOOKUP(A186*1,Tabla42[[CODIGO]:[UND]],3,0)&amp;"  "&amp;VLOOKUP(A186*1,Tabla42[[CODIGO]:[TIPO]],4,0)</f>
        <v>1  SUELTO</v>
      </c>
      <c r="H186" s="17" t="str">
        <f>VLOOKUP(A186,Tabla42[[CODIGO]:[clase]],5,0)</f>
        <v>PICADO</v>
      </c>
      <c r="I186" s="17" t="s">
        <v>9</v>
      </c>
    </row>
    <row r="187" spans="1:9" x14ac:dyDescent="0.35">
      <c r="A187" s="19">
        <v>30120</v>
      </c>
      <c r="B187" s="20" t="s">
        <v>178</v>
      </c>
      <c r="G187" s="17" t="str">
        <f>VLOOKUP(A187*1,Tabla42[[CODIGO]:[UND]],3,0)&amp;"  "&amp;VLOOKUP(A187*1,Tabla42[[CODIGO]:[TIPO]],4,0)</f>
        <v>1  SUELTO</v>
      </c>
      <c r="H187" s="17" t="str">
        <f>VLOOKUP(A187,Tabla42[[CODIGO]:[clase]],5,0)</f>
        <v>SUELTO</v>
      </c>
      <c r="I187" s="17" t="s">
        <v>9</v>
      </c>
    </row>
    <row r="188" spans="1:9" x14ac:dyDescent="0.35">
      <c r="A188" s="6">
        <v>40025</v>
      </c>
      <c r="B188" s="23" t="s">
        <v>179</v>
      </c>
      <c r="G188" s="17" t="str">
        <f>VLOOKUP(A188*1,Tabla42[[CODIGO]:[UND]],3,0)&amp;"  "&amp;VLOOKUP(A188*1,Tabla42[[CODIGO]:[TIPO]],4,0)</f>
        <v>1  SUELTO</v>
      </c>
      <c r="H188" s="17" t="str">
        <f>VLOOKUP(A188,Tabla42[[CODIGO]:[clase]],5,0)</f>
        <v>PICADO</v>
      </c>
      <c r="I188" s="17" t="s">
        <v>9</v>
      </c>
    </row>
    <row r="189" spans="1:9" x14ac:dyDescent="0.35">
      <c r="A189" s="24">
        <v>40174</v>
      </c>
      <c r="B189" s="25" t="s">
        <v>179</v>
      </c>
      <c r="G189" s="17" t="str">
        <f>VLOOKUP(A189*1,Tabla42[[CODIGO]:[UND]],3,0)&amp;"  "&amp;VLOOKUP(A189*1,Tabla42[[CODIGO]:[TIPO]],4,0)</f>
        <v>1  SUELTO</v>
      </c>
      <c r="H189" s="17" t="str">
        <f>VLOOKUP(A189,Tabla42[[CODIGO]:[clase]],5,0)</f>
        <v>PICADO</v>
      </c>
      <c r="I189" s="17" t="s">
        <v>9</v>
      </c>
    </row>
    <row r="190" spans="1:9" x14ac:dyDescent="0.35">
      <c r="A190" s="6">
        <v>30067</v>
      </c>
      <c r="B190" s="23" t="s">
        <v>180</v>
      </c>
      <c r="G190" s="17" t="str">
        <f>VLOOKUP(A190*1,Tabla42[[CODIGO]:[UND]],3,0)&amp;"  "&amp;VLOOKUP(A190*1,Tabla42[[CODIGO]:[TIPO]],4,0)</f>
        <v>1  SUELTO</v>
      </c>
      <c r="H190" s="17" t="str">
        <f>VLOOKUP(A190,Tabla42[[CODIGO]:[clase]],5,0)</f>
        <v>SUCIO</v>
      </c>
      <c r="I190" s="17" t="s">
        <v>9</v>
      </c>
    </row>
    <row r="191" spans="1:9" x14ac:dyDescent="0.35">
      <c r="A191" s="19">
        <v>30060</v>
      </c>
      <c r="B191" s="20" t="s">
        <v>105</v>
      </c>
      <c r="G191" s="17" t="str">
        <f>VLOOKUP(A191*1,Tabla42[[CODIGO]:[UND]],3,0)&amp;"  "&amp;VLOOKUP(A191*1,Tabla42[[CODIGO]:[TIPO]],4,0)</f>
        <v>11  YEMA</v>
      </c>
      <c r="H191" s="17" t="str">
        <f>VLOOKUP(A191,Tabla42[[CODIGO]:[clase]],5,0)</f>
        <v>YEMA</v>
      </c>
      <c r="I191" s="17" t="s">
        <v>9</v>
      </c>
    </row>
    <row r="192" spans="1:9" x14ac:dyDescent="0.35">
      <c r="A192" s="21">
        <v>30061</v>
      </c>
      <c r="B192" s="22" t="s">
        <v>181</v>
      </c>
      <c r="G192" s="17" t="str">
        <f>VLOOKUP(A192*1,Tabla42[[CODIGO]:[UND]],3,0)&amp;"  "&amp;VLOOKUP(A192*1,Tabla42[[CODIGO]:[TIPO]],4,0)</f>
        <v>11  YEMA</v>
      </c>
      <c r="H192" s="17" t="str">
        <f>VLOOKUP(A192,Tabla42[[CODIGO]:[clase]],5,0)</f>
        <v>YEMA</v>
      </c>
      <c r="I192" s="17" t="s">
        <v>9</v>
      </c>
    </row>
    <row r="193" spans="1:9" x14ac:dyDescent="0.35">
      <c r="A193" s="19">
        <v>40006</v>
      </c>
      <c r="B193" s="20" t="s">
        <v>182</v>
      </c>
      <c r="G193" s="17" t="str">
        <f>VLOOKUP(A193*1,Tabla42[[CODIGO]:[UND]],3,0)&amp;"  "&amp;VLOOKUP(A193*1,Tabla42[[CODIGO]:[TIPO]],4,0)</f>
        <v>11  YEMA</v>
      </c>
      <c r="H193" s="17" t="str">
        <f>VLOOKUP(A193,Tabla42[[CODIGO]:[clase]],5,0)</f>
        <v>YEMA</v>
      </c>
      <c r="I193" s="17" t="s">
        <v>9</v>
      </c>
    </row>
    <row r="194" spans="1:9" x14ac:dyDescent="0.35">
      <c r="A194" s="6">
        <v>70001</v>
      </c>
      <c r="B194" s="23" t="s">
        <v>183</v>
      </c>
      <c r="G194" s="17" t="e">
        <f>VLOOKUP(A194*1,Tabla42[[CODIGO]:[UND]],3,0)&amp;"  "&amp;VLOOKUP(A194*1,Tabla42[[CODIGO]:[TIPO]],4,0)</f>
        <v>#N/A</v>
      </c>
      <c r="H194" s="17" t="e">
        <f>VLOOKUP(A194,Tabla42[[CODIGO]:[clase]],5,0)</f>
        <v>#N/A</v>
      </c>
      <c r="I194" s="17" t="s">
        <v>9</v>
      </c>
    </row>
    <row r="195" spans="1:9" x14ac:dyDescent="0.35">
      <c r="A195" s="24">
        <v>90014</v>
      </c>
      <c r="B195" s="25" t="s">
        <v>184</v>
      </c>
      <c r="G195" s="17" t="e">
        <f>VLOOKUP(A195*1,Tabla42[[CODIGO]:[UND]],3,0)&amp;"  "&amp;VLOOKUP(A195*1,Tabla42[[CODIGO]:[TIPO]],4,0)</f>
        <v>#N/A</v>
      </c>
      <c r="H195" s="17" t="e">
        <f>VLOOKUP(A195,Tabla42[[CODIGO]:[clase]],5,0)</f>
        <v>#N/A</v>
      </c>
      <c r="I195" s="17" t="s">
        <v>9</v>
      </c>
    </row>
    <row r="196" spans="1:9" x14ac:dyDescent="0.35">
      <c r="A196" s="6">
        <v>70002</v>
      </c>
      <c r="B196" s="23" t="s">
        <v>185</v>
      </c>
      <c r="G196" s="17" t="e">
        <f>VLOOKUP(A196*1,Tabla42[[CODIGO]:[UND]],3,0)&amp;"  "&amp;VLOOKUP(A196*1,Tabla42[[CODIGO]:[TIPO]],4,0)</f>
        <v>#N/A</v>
      </c>
      <c r="H196" s="17" t="e">
        <f>VLOOKUP(A196,Tabla42[[CODIGO]:[clase]],5,0)</f>
        <v>#N/A</v>
      </c>
      <c r="I196" s="17" t="s">
        <v>9</v>
      </c>
    </row>
    <row r="197" spans="1:9" x14ac:dyDescent="0.35">
      <c r="A197" s="27">
        <v>40404</v>
      </c>
      <c r="B197" s="28" t="s">
        <v>186</v>
      </c>
      <c r="G197" s="17" t="str">
        <f>VLOOKUP(A197*1,Tabla42[[CODIGO]:[UND]],3,0)&amp;"  "&amp;VLOOKUP(A197*1,Tabla42[[CODIGO]:[TIPO]],4,0)</f>
        <v>30  AMARRADO</v>
      </c>
      <c r="H197" s="17" t="str">
        <f>VLOOKUP(A197,Tabla42[[CODIGO]:[clase]],5,0)</f>
        <v>A</v>
      </c>
      <c r="I197" s="17" t="s">
        <v>9</v>
      </c>
    </row>
    <row r="198" spans="1:9" x14ac:dyDescent="0.35">
      <c r="A198">
        <v>60</v>
      </c>
      <c r="B198" t="s">
        <v>112</v>
      </c>
      <c r="C198" s="17" t="s">
        <v>147</v>
      </c>
      <c r="D198" s="17" t="s">
        <v>187</v>
      </c>
      <c r="E198">
        <v>1</v>
      </c>
    </row>
    <row r="199" spans="1:9" x14ac:dyDescent="0.35">
      <c r="A199">
        <v>61</v>
      </c>
      <c r="B199" t="s">
        <v>108</v>
      </c>
      <c r="C199" s="17" t="s">
        <v>147</v>
      </c>
      <c r="D199" s="17" t="s">
        <v>143</v>
      </c>
      <c r="E199">
        <v>1</v>
      </c>
    </row>
    <row r="200" spans="1:9" x14ac:dyDescent="0.35">
      <c r="A200">
        <v>63</v>
      </c>
      <c r="B200" t="s">
        <v>188</v>
      </c>
      <c r="C200" s="17" t="s">
        <v>147</v>
      </c>
      <c r="D200" s="17" t="s">
        <v>189</v>
      </c>
      <c r="E200">
        <v>1</v>
      </c>
    </row>
    <row r="201" spans="1:9" x14ac:dyDescent="0.35">
      <c r="A201">
        <v>64</v>
      </c>
      <c r="B201" t="s">
        <v>190</v>
      </c>
      <c r="C201" s="17" t="s">
        <v>142</v>
      </c>
      <c r="D201" s="17" t="s">
        <v>189</v>
      </c>
      <c r="E201">
        <v>6</v>
      </c>
    </row>
    <row r="202" spans="1:9" x14ac:dyDescent="0.35">
      <c r="A202">
        <v>65</v>
      </c>
      <c r="B202" t="s">
        <v>191</v>
      </c>
      <c r="C202" s="17" t="s">
        <v>140</v>
      </c>
      <c r="D202" s="17" t="s">
        <v>189</v>
      </c>
      <c r="E202">
        <v>12</v>
      </c>
    </row>
    <row r="203" spans="1:9" x14ac:dyDescent="0.35">
      <c r="A203">
        <v>66</v>
      </c>
      <c r="B203" t="s">
        <v>192</v>
      </c>
      <c r="C203" s="17" t="s">
        <v>193</v>
      </c>
      <c r="D203" s="17" t="s">
        <v>189</v>
      </c>
      <c r="E203">
        <v>15</v>
      </c>
    </row>
    <row r="204" spans="1:9" x14ac:dyDescent="0.35">
      <c r="A204">
        <v>67</v>
      </c>
      <c r="B204" t="s">
        <v>194</v>
      </c>
      <c r="C204" s="17" t="s">
        <v>195</v>
      </c>
      <c r="D204" s="17" t="s">
        <v>189</v>
      </c>
      <c r="E204">
        <v>30</v>
      </c>
    </row>
    <row r="205" spans="1:9" x14ac:dyDescent="0.35">
      <c r="A205">
        <v>70</v>
      </c>
      <c r="B205" t="s">
        <v>196</v>
      </c>
      <c r="C205" s="17" t="s">
        <v>147</v>
      </c>
      <c r="D205" s="17" t="s">
        <v>138</v>
      </c>
      <c r="E205">
        <v>1</v>
      </c>
    </row>
    <row r="206" spans="1:9" x14ac:dyDescent="0.35">
      <c r="A206">
        <v>71</v>
      </c>
      <c r="B206" t="s">
        <v>197</v>
      </c>
      <c r="C206" s="17" t="s">
        <v>142</v>
      </c>
      <c r="D206" s="17" t="s">
        <v>138</v>
      </c>
      <c r="E206">
        <v>6</v>
      </c>
    </row>
    <row r="207" spans="1:9" x14ac:dyDescent="0.35">
      <c r="A207">
        <v>72</v>
      </c>
      <c r="B207" t="s">
        <v>198</v>
      </c>
      <c r="C207" s="17" t="s">
        <v>140</v>
      </c>
      <c r="D207" s="17" t="s">
        <v>138</v>
      </c>
      <c r="E207">
        <v>12</v>
      </c>
    </row>
    <row r="208" spans="1:9" x14ac:dyDescent="0.35">
      <c r="A208">
        <v>73</v>
      </c>
      <c r="B208" t="s">
        <v>199</v>
      </c>
      <c r="C208" s="17" t="s">
        <v>193</v>
      </c>
      <c r="D208" s="17" t="s">
        <v>138</v>
      </c>
      <c r="E208">
        <v>15</v>
      </c>
    </row>
    <row r="209" spans="1:5" x14ac:dyDescent="0.35">
      <c r="A209">
        <v>74</v>
      </c>
      <c r="B209" t="s">
        <v>200</v>
      </c>
      <c r="C209" s="17" t="s">
        <v>137</v>
      </c>
      <c r="D209" s="17" t="s">
        <v>138</v>
      </c>
      <c r="E209">
        <v>30</v>
      </c>
    </row>
    <row r="210" spans="1:5" x14ac:dyDescent="0.35">
      <c r="A210">
        <v>75</v>
      </c>
      <c r="B210" t="s">
        <v>60</v>
      </c>
      <c r="C210" s="17" t="s">
        <v>195</v>
      </c>
      <c r="D210" s="17" t="s">
        <v>138</v>
      </c>
      <c r="E210">
        <v>30</v>
      </c>
    </row>
    <row r="211" spans="1:5" x14ac:dyDescent="0.35">
      <c r="A211">
        <v>76</v>
      </c>
      <c r="B211" t="s">
        <v>200</v>
      </c>
      <c r="C211" s="17" t="s">
        <v>137</v>
      </c>
      <c r="D211" s="17" t="s">
        <v>138</v>
      </c>
      <c r="E211">
        <v>30</v>
      </c>
    </row>
    <row r="212" spans="1:5" x14ac:dyDescent="0.35">
      <c r="A212">
        <v>78</v>
      </c>
      <c r="B212" t="s">
        <v>116</v>
      </c>
      <c r="C212" s="17" t="s">
        <v>147</v>
      </c>
      <c r="D212" s="17" t="s">
        <v>201</v>
      </c>
      <c r="E212">
        <v>1</v>
      </c>
    </row>
    <row r="213" spans="1:5" x14ac:dyDescent="0.35">
      <c r="A213">
        <v>80</v>
      </c>
      <c r="B213" t="s">
        <v>202</v>
      </c>
      <c r="C213" s="17" t="s">
        <v>195</v>
      </c>
      <c r="D213" s="17" t="s">
        <v>201</v>
      </c>
      <c r="E213">
        <v>30</v>
      </c>
    </row>
    <row r="214" spans="1:5" x14ac:dyDescent="0.35">
      <c r="A214">
        <v>81</v>
      </c>
      <c r="B214" t="s">
        <v>120</v>
      </c>
      <c r="C214" s="17" t="s">
        <v>147</v>
      </c>
      <c r="D214" s="17" t="s">
        <v>203</v>
      </c>
      <c r="E214">
        <v>1</v>
      </c>
    </row>
    <row r="215" spans="1:5" x14ac:dyDescent="0.35">
      <c r="A215">
        <v>82</v>
      </c>
      <c r="B215" t="s">
        <v>146</v>
      </c>
      <c r="C215" s="17" t="s">
        <v>147</v>
      </c>
      <c r="D215" s="17" t="s">
        <v>148</v>
      </c>
      <c r="E215">
        <v>1</v>
      </c>
    </row>
    <row r="216" spans="1:5" x14ac:dyDescent="0.35">
      <c r="A216">
        <v>84</v>
      </c>
      <c r="B216" t="s">
        <v>31</v>
      </c>
      <c r="C216" s="17" t="s">
        <v>147</v>
      </c>
      <c r="D216" s="17" t="s">
        <v>204</v>
      </c>
      <c r="E216">
        <v>1</v>
      </c>
    </row>
    <row r="217" spans="1:5" x14ac:dyDescent="0.35">
      <c r="A217">
        <v>85</v>
      </c>
      <c r="B217" t="s">
        <v>205</v>
      </c>
      <c r="C217" s="17" t="s">
        <v>147</v>
      </c>
      <c r="D217" s="17" t="s">
        <v>206</v>
      </c>
      <c r="E217">
        <v>1</v>
      </c>
    </row>
    <row r="218" spans="1:5" x14ac:dyDescent="0.35">
      <c r="A218">
        <v>86</v>
      </c>
      <c r="B218" t="s">
        <v>207</v>
      </c>
      <c r="C218" s="17" t="s">
        <v>147</v>
      </c>
      <c r="D218" s="17" t="s">
        <v>206</v>
      </c>
      <c r="E218">
        <v>1</v>
      </c>
    </row>
    <row r="219" spans="1:5" x14ac:dyDescent="0.35">
      <c r="A219">
        <v>2548</v>
      </c>
      <c r="B219" t="s">
        <v>36</v>
      </c>
      <c r="C219" s="17" t="s">
        <v>195</v>
      </c>
      <c r="D219" s="17" t="s">
        <v>138</v>
      </c>
      <c r="E219">
        <v>30</v>
      </c>
    </row>
    <row r="220" spans="1:5" x14ac:dyDescent="0.35">
      <c r="A220">
        <v>2549</v>
      </c>
      <c r="B220" t="s">
        <v>37</v>
      </c>
      <c r="C220" s="17" t="s">
        <v>195</v>
      </c>
      <c r="D220" s="17" t="s">
        <v>138</v>
      </c>
      <c r="E220">
        <v>30</v>
      </c>
    </row>
    <row r="221" spans="1:5" x14ac:dyDescent="0.35">
      <c r="A221">
        <v>2570</v>
      </c>
      <c r="B221" t="s">
        <v>208</v>
      </c>
      <c r="C221" s="17" t="s">
        <v>195</v>
      </c>
      <c r="D221" s="17" t="s">
        <v>138</v>
      </c>
      <c r="E221">
        <v>30</v>
      </c>
    </row>
    <row r="222" spans="1:5" x14ac:dyDescent="0.35">
      <c r="A222">
        <v>2636</v>
      </c>
      <c r="B222" t="s">
        <v>209</v>
      </c>
      <c r="C222" s="17" t="s">
        <v>195</v>
      </c>
      <c r="D222" s="17" t="s">
        <v>138</v>
      </c>
      <c r="E222">
        <v>30</v>
      </c>
    </row>
    <row r="223" spans="1:5" x14ac:dyDescent="0.35">
      <c r="A223">
        <v>2779</v>
      </c>
      <c r="B223" t="s">
        <v>210</v>
      </c>
      <c r="C223" s="17" t="s">
        <v>147</v>
      </c>
      <c r="D223" s="17" t="s">
        <v>206</v>
      </c>
      <c r="E223">
        <v>1</v>
      </c>
    </row>
    <row r="224" spans="1:5" x14ac:dyDescent="0.35">
      <c r="A224">
        <v>2900</v>
      </c>
      <c r="B224" t="s">
        <v>211</v>
      </c>
      <c r="C224" s="17" t="s">
        <v>195</v>
      </c>
      <c r="D224" s="17" t="s">
        <v>138</v>
      </c>
      <c r="E224">
        <v>30</v>
      </c>
    </row>
    <row r="225" spans="1:7" x14ac:dyDescent="0.35">
      <c r="A225">
        <v>2904</v>
      </c>
      <c r="B225" t="s">
        <v>14</v>
      </c>
      <c r="C225" s="17" t="s">
        <v>195</v>
      </c>
      <c r="D225" s="17" t="s">
        <v>201</v>
      </c>
      <c r="E225">
        <v>30</v>
      </c>
    </row>
    <row r="226" spans="1:7" x14ac:dyDescent="0.35">
      <c r="A226">
        <v>2905</v>
      </c>
      <c r="B226" t="s">
        <v>13</v>
      </c>
      <c r="C226" s="17" t="s">
        <v>195</v>
      </c>
      <c r="D226" s="17" t="s">
        <v>138</v>
      </c>
      <c r="E226">
        <v>30</v>
      </c>
    </row>
    <row r="227" spans="1:7" x14ac:dyDescent="0.35">
      <c r="A227">
        <v>2920</v>
      </c>
      <c r="B227" t="s">
        <v>212</v>
      </c>
      <c r="C227" s="17" t="s">
        <v>193</v>
      </c>
      <c r="D227" s="17" t="s">
        <v>201</v>
      </c>
      <c r="E227">
        <v>15</v>
      </c>
    </row>
    <row r="228" spans="1:7" x14ac:dyDescent="0.35">
      <c r="A228">
        <v>2921</v>
      </c>
      <c r="B228" t="s">
        <v>20</v>
      </c>
      <c r="C228" s="17" t="s">
        <v>195</v>
      </c>
      <c r="D228" s="17" t="s">
        <v>203</v>
      </c>
      <c r="E228">
        <v>30</v>
      </c>
    </row>
    <row r="229" spans="1:7" x14ac:dyDescent="0.35">
      <c r="A229">
        <v>2948</v>
      </c>
      <c r="B229" t="s">
        <v>20</v>
      </c>
      <c r="C229" s="17" t="s">
        <v>195</v>
      </c>
      <c r="D229" s="17" t="s">
        <v>203</v>
      </c>
      <c r="E229">
        <v>30</v>
      </c>
    </row>
    <row r="230" spans="1:7" x14ac:dyDescent="0.35">
      <c r="A230">
        <v>2967</v>
      </c>
      <c r="B230" t="s">
        <v>46</v>
      </c>
      <c r="C230" s="17" t="s">
        <v>142</v>
      </c>
      <c r="D230" s="17" t="s">
        <v>138</v>
      </c>
      <c r="E230">
        <v>6</v>
      </c>
    </row>
    <row r="231" spans="1:7" x14ac:dyDescent="0.35">
      <c r="A231">
        <v>2968</v>
      </c>
      <c r="B231" t="s">
        <v>45</v>
      </c>
      <c r="C231" s="17" t="s">
        <v>140</v>
      </c>
      <c r="D231" s="17" t="s">
        <v>138</v>
      </c>
      <c r="E231">
        <v>12</v>
      </c>
    </row>
    <row r="232" spans="1:7" x14ac:dyDescent="0.35">
      <c r="A232">
        <v>3063</v>
      </c>
      <c r="B232" t="s">
        <v>213</v>
      </c>
      <c r="C232" s="17" t="s">
        <v>137</v>
      </c>
      <c r="D232" s="17" t="s">
        <v>189</v>
      </c>
      <c r="E232">
        <v>30</v>
      </c>
      <c r="F232" s="17"/>
      <c r="G232" s="17"/>
    </row>
    <row r="233" spans="1:7" x14ac:dyDescent="0.35">
      <c r="A233">
        <v>3110</v>
      </c>
      <c r="B233" t="s">
        <v>214</v>
      </c>
      <c r="C233" s="17" t="s">
        <v>147</v>
      </c>
      <c r="D233" s="17" t="s">
        <v>206</v>
      </c>
      <c r="E233">
        <v>1</v>
      </c>
    </row>
    <row r="234" spans="1:7" x14ac:dyDescent="0.35">
      <c r="A234">
        <v>2643</v>
      </c>
      <c r="B234" t="s">
        <v>215</v>
      </c>
      <c r="C234" s="17" t="s">
        <v>195</v>
      </c>
      <c r="D234" s="17" t="s">
        <v>189</v>
      </c>
      <c r="E234">
        <v>30</v>
      </c>
    </row>
  </sheetData>
  <autoFilter ref="A1:F100" xr:uid="{00000000-0009-0000-0000-000000000000}">
    <sortState xmlns:xlrd2="http://schemas.microsoft.com/office/spreadsheetml/2017/richdata2" ref="A2:F100">
      <sortCondition ref="E1:E1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12"/>
  <sheetViews>
    <sheetView topLeftCell="A82" workbookViewId="0">
      <selection activeCell="C63" sqref="C63"/>
    </sheetView>
  </sheetViews>
  <sheetFormatPr baseColWidth="10" defaultColWidth="9.26953125" defaultRowHeight="14.5" x14ac:dyDescent="0.35"/>
  <cols>
    <col min="1" max="1" width="10.1796875" bestFit="1" customWidth="1"/>
    <col min="2" max="2" width="42.54296875" bestFit="1" customWidth="1"/>
    <col min="3" max="3" width="7.1796875" bestFit="1" customWidth="1"/>
    <col min="4" max="4" width="11.7265625" bestFit="1" customWidth="1"/>
    <col min="5" max="5" width="17.26953125" bestFit="1" customWidth="1"/>
    <col min="6" max="6" width="13.81640625" style="38" bestFit="1" customWidth="1"/>
    <col min="7" max="7" width="13.81640625" bestFit="1" customWidth="1"/>
    <col min="8" max="8" width="21.26953125" bestFit="1" customWidth="1"/>
    <col min="9" max="9" width="24.26953125" bestFit="1" customWidth="1"/>
    <col min="10" max="11" width="10.453125" bestFit="1" customWidth="1"/>
    <col min="13" max="13" width="11.1796875" bestFit="1" customWidth="1"/>
  </cols>
  <sheetData>
    <row r="1" spans="1:8" x14ac:dyDescent="0.3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s="38" t="s">
        <v>221</v>
      </c>
      <c r="G1" t="s">
        <v>222</v>
      </c>
      <c r="H1" t="s">
        <v>223</v>
      </c>
    </row>
    <row r="2" spans="1:8" x14ac:dyDescent="0.35">
      <c r="A2">
        <v>10000</v>
      </c>
      <c r="B2" t="s">
        <v>133</v>
      </c>
      <c r="C2">
        <v>1</v>
      </c>
      <c r="F2" s="38" t="e">
        <f>_xlfn.XLOOKUP(Tabla4[[#This Row],[MATERIAL]],[3]Productos!$B:$B,[3]Productos!$A:$A)</f>
        <v>#N/A</v>
      </c>
      <c r="H2" t="str">
        <f>LEFT(Tabla4[[#This Row],[MATERIAL]],18)</f>
        <v>HUEVO ORO ROJO SIN</v>
      </c>
    </row>
    <row r="3" spans="1:8" x14ac:dyDescent="0.35">
      <c r="A3">
        <v>30018</v>
      </c>
      <c r="B3" t="s">
        <v>7</v>
      </c>
      <c r="C3">
        <v>30</v>
      </c>
      <c r="D3" t="s">
        <v>51</v>
      </c>
      <c r="E3" t="s">
        <v>224</v>
      </c>
      <c r="F3" s="38">
        <f>_xlfn.XLOOKUP(Tabla4[[#This Row],[MATERIAL]],[3]Productos!$B:$B,[3]Productos!$A:$A)</f>
        <v>7702349030375</v>
      </c>
      <c r="H3" t="str">
        <f>LEFT(Tabla4[[#This Row],[MATERIAL]],18)</f>
        <v>CAMPESINO TERMOENC</v>
      </c>
    </row>
    <row r="4" spans="1:8" x14ac:dyDescent="0.35">
      <c r="A4">
        <v>30018</v>
      </c>
      <c r="B4" t="s">
        <v>225</v>
      </c>
      <c r="C4">
        <v>30</v>
      </c>
      <c r="D4" t="s">
        <v>51</v>
      </c>
      <c r="E4" t="s">
        <v>224</v>
      </c>
      <c r="F4" s="38" t="e">
        <f>_xlfn.XLOOKUP(Tabla4[[#This Row],[MATERIAL]],[3]Productos!$B:$B,[3]Productos!$A:$A)</f>
        <v>#N/A</v>
      </c>
      <c r="H4" t="str">
        <f>LEFT(Tabla4[[#This Row],[MATERIAL]],18)</f>
        <v>CAMPESINO TERMOENC</v>
      </c>
    </row>
    <row r="5" spans="1:8" x14ac:dyDescent="0.35">
      <c r="A5">
        <v>30019</v>
      </c>
      <c r="B5" t="s">
        <v>11</v>
      </c>
      <c r="C5">
        <v>12</v>
      </c>
      <c r="D5" t="s">
        <v>51</v>
      </c>
      <c r="E5" t="s">
        <v>224</v>
      </c>
      <c r="F5" s="38">
        <f>_xlfn.XLOOKUP(Tabla4[[#This Row],[MATERIAL]],[3]Productos!$B:$B,[3]Productos!$A:$A)</f>
        <v>7702349030597</v>
      </c>
      <c r="H5" t="str">
        <f>LEFT(Tabla4[[#This Row],[MATERIAL]],18)</f>
        <v>CAMPESINO X12</v>
      </c>
    </row>
    <row r="6" spans="1:8" x14ac:dyDescent="0.35">
      <c r="A6">
        <v>30020</v>
      </c>
      <c r="B6" t="s">
        <v>12</v>
      </c>
      <c r="C6">
        <v>30</v>
      </c>
      <c r="F6" s="38" t="e">
        <f>_xlfn.XLOOKUP(Tabla4[[#This Row],[MATERIAL]],[3]Productos!$B:$B,[3]Productos!$A:$A)</f>
        <v>#N/A</v>
      </c>
      <c r="H6" t="str">
        <f>LEFT(Tabla4[[#This Row],[MATERIAL]],18)</f>
        <v>HUEVO A X 30 MARCA</v>
      </c>
    </row>
    <row r="7" spans="1:8" x14ac:dyDescent="0.35">
      <c r="A7">
        <v>30021</v>
      </c>
      <c r="B7" t="s">
        <v>13</v>
      </c>
      <c r="C7">
        <v>30</v>
      </c>
      <c r="D7" t="s">
        <v>8</v>
      </c>
      <c r="E7" t="s">
        <v>226</v>
      </c>
      <c r="F7" s="38">
        <f>_xlfn.XLOOKUP(Tabla4[[#This Row],[MATERIAL]],[3]Productos!$B:$B,[3]Productos!$A:$A)</f>
        <v>7701001079042</v>
      </c>
      <c r="H7" t="str">
        <f>LEFT(Tabla4[[#This Row],[MATERIAL]],18)</f>
        <v>HUEVO AX30 EKONO</v>
      </c>
    </row>
    <row r="8" spans="1:8" x14ac:dyDescent="0.35">
      <c r="A8">
        <v>30022</v>
      </c>
      <c r="B8" t="s">
        <v>14</v>
      </c>
      <c r="C8">
        <v>30</v>
      </c>
      <c r="F8" s="38">
        <f>_xlfn.XLOOKUP(Tabla4[[#This Row],[MATERIAL]],[3]Productos!$B:$B,[3]Productos!$A:$A)</f>
        <v>7701001079059</v>
      </c>
      <c r="H8" t="str">
        <f>LEFT(Tabla4[[#This Row],[MATERIAL]],18)</f>
        <v>HUEVO BX30 EKONO</v>
      </c>
    </row>
    <row r="9" spans="1:8" x14ac:dyDescent="0.35">
      <c r="A9">
        <v>30023</v>
      </c>
      <c r="B9" t="s">
        <v>17</v>
      </c>
      <c r="C9">
        <v>12</v>
      </c>
      <c r="D9" t="s">
        <v>8</v>
      </c>
      <c r="E9" t="s">
        <v>226</v>
      </c>
      <c r="F9" s="38">
        <f>_xlfn.XLOOKUP(Tabla4[[#This Row],[MATERIAL]],[3]Productos!$B:$B,[3]Productos!$A:$A)</f>
        <v>7702349030566</v>
      </c>
      <c r="H9" t="str">
        <f>LEFT(Tabla4[[#This Row],[MATERIAL]],18)</f>
        <v>JUNIOR X 12</v>
      </c>
    </row>
    <row r="10" spans="1:8" x14ac:dyDescent="0.35">
      <c r="A10">
        <v>30023</v>
      </c>
      <c r="B10" t="s">
        <v>152</v>
      </c>
      <c r="C10">
        <v>12</v>
      </c>
      <c r="D10" t="s">
        <v>8</v>
      </c>
      <c r="E10" t="s">
        <v>226</v>
      </c>
      <c r="F10" s="38" t="e">
        <f>_xlfn.XLOOKUP(Tabla4[[#This Row],[MATERIAL]],[3]Productos!$B:$B,[3]Productos!$A:$A)</f>
        <v>#N/A</v>
      </c>
      <c r="H10" t="str">
        <f>LEFT(Tabla4[[#This Row],[MATERIAL]],18)</f>
        <v>JUNIOR X 12 ESTUCH</v>
      </c>
    </row>
    <row r="11" spans="1:8" x14ac:dyDescent="0.35">
      <c r="A11">
        <v>30024</v>
      </c>
      <c r="B11" t="s">
        <v>19</v>
      </c>
      <c r="C11">
        <v>30</v>
      </c>
      <c r="D11" t="s">
        <v>8</v>
      </c>
      <c r="E11" t="s">
        <v>226</v>
      </c>
      <c r="F11" s="38">
        <f>_xlfn.XLOOKUP(Tabla4[[#This Row],[MATERIAL]],[3]Productos!$B:$B,[3]Productos!$A:$A)</f>
        <v>7702349030580</v>
      </c>
      <c r="H11" t="str">
        <f>LEFT(Tabla4[[#This Row],[MATERIAL]],18)</f>
        <v>JUNIOR X 30</v>
      </c>
    </row>
    <row r="12" spans="1:8" x14ac:dyDescent="0.35">
      <c r="A12">
        <v>30025</v>
      </c>
      <c r="B12" t="s">
        <v>21</v>
      </c>
      <c r="C12">
        <v>30</v>
      </c>
      <c r="D12" t="s">
        <v>22</v>
      </c>
      <c r="E12" t="s">
        <v>227</v>
      </c>
      <c r="F12" s="38" t="e">
        <f>_xlfn.XLOOKUP(Tabla4[[#This Row],[MATERIAL]],[3]Productos!$B:$B,[3]Productos!$A:$A)</f>
        <v>#N/A</v>
      </c>
      <c r="H12" t="str">
        <f>LEFT(Tabla4[[#This Row],[MATERIAL]],18)</f>
        <v>HUEVO ORO C X 30 A</v>
      </c>
    </row>
    <row r="13" spans="1:8" x14ac:dyDescent="0.35">
      <c r="A13">
        <v>30026</v>
      </c>
      <c r="B13" t="s">
        <v>25</v>
      </c>
      <c r="C13">
        <v>1</v>
      </c>
      <c r="D13" t="s">
        <v>26</v>
      </c>
      <c r="E13" t="s">
        <v>228</v>
      </c>
      <c r="F13" s="38" t="e">
        <f>_xlfn.XLOOKUP(Tabla4[[#This Row],[MATERIAL]],[3]Productos!$B:$B,[3]Productos!$A:$A)</f>
        <v>#N/A</v>
      </c>
      <c r="H13" t="str">
        <f>LEFT(Tabla4[[#This Row],[MATERIAL]],18)</f>
        <v>HUEVO ORO ROJO GRA</v>
      </c>
    </row>
    <row r="14" spans="1:8" x14ac:dyDescent="0.35">
      <c r="A14">
        <v>30027</v>
      </c>
      <c r="B14" t="s">
        <v>29</v>
      </c>
      <c r="C14">
        <v>1</v>
      </c>
      <c r="D14" t="s">
        <v>26</v>
      </c>
      <c r="E14" t="s">
        <v>228</v>
      </c>
      <c r="F14" s="38" t="e">
        <f>_xlfn.XLOOKUP(Tabla4[[#This Row],[MATERIAL]],[3]Productos!$B:$B,[3]Productos!$A:$A)</f>
        <v>#N/A</v>
      </c>
      <c r="H14" t="str">
        <f>LEFT(Tabla4[[#This Row],[MATERIAL]],18)</f>
        <v>HUEVO ORO ROJO MED</v>
      </c>
    </row>
    <row r="15" spans="1:8" x14ac:dyDescent="0.35">
      <c r="A15">
        <v>30028</v>
      </c>
      <c r="B15" t="s">
        <v>33</v>
      </c>
      <c r="C15">
        <v>1</v>
      </c>
      <c r="D15" t="s">
        <v>32</v>
      </c>
      <c r="E15" t="s">
        <v>229</v>
      </c>
      <c r="F15" s="38" t="e">
        <f>_xlfn.XLOOKUP(Tabla4[[#This Row],[MATERIAL]],[3]Productos!$B:$B,[3]Productos!$A:$A)</f>
        <v>#N/A</v>
      </c>
      <c r="H15" t="str">
        <f>LEFT(Tabla4[[#This Row],[MATERIAL]],18)</f>
        <v>HUEVO ORO ROJO PIC</v>
      </c>
    </row>
    <row r="16" spans="1:8" x14ac:dyDescent="0.35">
      <c r="A16">
        <v>30029</v>
      </c>
      <c r="B16" t="s">
        <v>36</v>
      </c>
      <c r="C16">
        <v>30</v>
      </c>
      <c r="D16" t="s">
        <v>8</v>
      </c>
      <c r="E16" t="s">
        <v>226</v>
      </c>
      <c r="F16" s="38" t="e">
        <f>_xlfn.XLOOKUP(Tabla4[[#This Row],[MATERIAL]],[3]Productos!$B:$B,[3]Productos!$A:$A)</f>
        <v>#N/A</v>
      </c>
      <c r="H16" t="str">
        <f>LEFT(Tabla4[[#This Row],[MATERIAL]],18)</f>
        <v>HUEVO ORO ROJO TIP</v>
      </c>
    </row>
    <row r="17" spans="1:8" x14ac:dyDescent="0.35">
      <c r="A17">
        <v>30030</v>
      </c>
      <c r="B17" t="s">
        <v>37</v>
      </c>
      <c r="C17">
        <v>30</v>
      </c>
      <c r="F17" s="38" t="e">
        <f>_xlfn.XLOOKUP(Tabla4[[#This Row],[MATERIAL]],[3]Productos!$B:$B,[3]Productos!$A:$A)</f>
        <v>#N/A</v>
      </c>
      <c r="H17" t="str">
        <f>LEFT(Tabla4[[#This Row],[MATERIAL]],18)</f>
        <v>HUEVO ORO ROJO TIP</v>
      </c>
    </row>
    <row r="18" spans="1:8" x14ac:dyDescent="0.35">
      <c r="A18">
        <v>30031</v>
      </c>
      <c r="B18" t="s">
        <v>39</v>
      </c>
      <c r="C18">
        <v>30</v>
      </c>
      <c r="D18" t="s">
        <v>8</v>
      </c>
      <c r="E18" t="s">
        <v>226</v>
      </c>
      <c r="F18" s="38">
        <f>_xlfn.XLOOKUP(Tabla4[[#This Row],[MATERIAL]],[3]Productos!$B:$B,[3]Productos!$A:$A)</f>
        <v>7702349024558</v>
      </c>
      <c r="H18" t="str">
        <f>LEFT(Tabla4[[#This Row],[MATERIAL]],18)</f>
        <v>HUEVO ORO ROJO TIP</v>
      </c>
    </row>
    <row r="19" spans="1:8" x14ac:dyDescent="0.35">
      <c r="A19">
        <v>30032</v>
      </c>
      <c r="B19" t="s">
        <v>41</v>
      </c>
      <c r="C19">
        <v>12</v>
      </c>
      <c r="D19" t="s">
        <v>42</v>
      </c>
      <c r="E19" t="s">
        <v>230</v>
      </c>
      <c r="F19" s="38">
        <f>_xlfn.XLOOKUP(Tabla4[[#This Row],[MATERIAL]],[3]Productos!$B:$B,[3]Productos!$A:$A)</f>
        <v>7702349030351</v>
      </c>
      <c r="H19" t="str">
        <f>LEFT(Tabla4[[#This Row],[MATERIAL]],18)</f>
        <v xml:space="preserve">HUEVO ORO SELENIO </v>
      </c>
    </row>
    <row r="20" spans="1:8" x14ac:dyDescent="0.35">
      <c r="A20">
        <v>30033</v>
      </c>
      <c r="B20" t="s">
        <v>33</v>
      </c>
      <c r="C20">
        <v>1</v>
      </c>
      <c r="F20" s="38" t="e">
        <f>_xlfn.XLOOKUP(Tabla4[[#This Row],[MATERIAL]],[3]Productos!$B:$B,[3]Productos!$A:$A)</f>
        <v>#N/A</v>
      </c>
      <c r="H20" t="str">
        <f>LEFT(Tabla4[[#This Row],[MATERIAL]],18)</f>
        <v>HUEVO ORO ROJO PIC</v>
      </c>
    </row>
    <row r="21" spans="1:8" x14ac:dyDescent="0.35">
      <c r="A21">
        <v>30034</v>
      </c>
      <c r="B21" t="s">
        <v>45</v>
      </c>
      <c r="C21">
        <v>12</v>
      </c>
      <c r="D21" t="s">
        <v>8</v>
      </c>
      <c r="E21" t="s">
        <v>226</v>
      </c>
      <c r="F21" s="38">
        <f>_xlfn.XLOOKUP(Tabla4[[#This Row],[MATERIAL]],[3]Productos!$B:$B,[3]Productos!$A:$A)</f>
        <v>7701001086392</v>
      </c>
      <c r="H21" t="str">
        <f>LEFT(Tabla4[[#This Row],[MATERIAL]],18)</f>
        <v>HUEVO SURTIMAX X 1</v>
      </c>
    </row>
    <row r="22" spans="1:8" x14ac:dyDescent="0.35">
      <c r="A22">
        <v>30035</v>
      </c>
      <c r="B22" t="s">
        <v>46</v>
      </c>
      <c r="C22">
        <v>6</v>
      </c>
      <c r="D22" t="s">
        <v>8</v>
      </c>
      <c r="E22" t="s">
        <v>226</v>
      </c>
      <c r="F22" s="38">
        <f>_xlfn.XLOOKUP(Tabla4[[#This Row],[MATERIAL]],[3]Productos!$B:$B,[3]Productos!$A:$A)</f>
        <v>7701001086385</v>
      </c>
      <c r="H22" t="str">
        <f>LEFT(Tabla4[[#This Row],[MATERIAL]],18)</f>
        <v>HUEVO SURTIMAX X 6</v>
      </c>
    </row>
    <row r="23" spans="1:8" x14ac:dyDescent="0.35">
      <c r="A23" s="3">
        <v>30036</v>
      </c>
      <c r="B23" s="3" t="s">
        <v>157</v>
      </c>
      <c r="C23">
        <v>360</v>
      </c>
      <c r="F23" s="38" t="e">
        <f>_xlfn.XLOOKUP(Tabla4[[#This Row],[MATERIAL]],[3]Productos!$B:$B,[3]Productos!$A:$A)</f>
        <v>#N/A</v>
      </c>
      <c r="H23" t="str">
        <f>LEFT(Tabla4[[#This Row],[MATERIAL]],18)</f>
        <v xml:space="preserve">HUEVOS ORO A CJ X </v>
      </c>
    </row>
    <row r="24" spans="1:8" x14ac:dyDescent="0.35">
      <c r="A24">
        <v>30037</v>
      </c>
      <c r="B24" t="s">
        <v>48</v>
      </c>
      <c r="C24">
        <v>12</v>
      </c>
      <c r="D24" t="s">
        <v>8</v>
      </c>
      <c r="E24" t="s">
        <v>226</v>
      </c>
      <c r="F24" s="38">
        <f>_xlfn.XLOOKUP(Tabla4[[#This Row],[MATERIAL]],[3]Productos!$B:$B,[3]Productos!$A:$A)</f>
        <v>7702349024343</v>
      </c>
      <c r="H24" t="str">
        <f>LEFT(Tabla4[[#This Row],[MATERIAL]],18)</f>
        <v xml:space="preserve">HUEVOS ORO A X 12 </v>
      </c>
    </row>
    <row r="25" spans="1:8" x14ac:dyDescent="0.35">
      <c r="A25">
        <v>30038</v>
      </c>
      <c r="B25" t="s">
        <v>53</v>
      </c>
      <c r="C25">
        <v>15</v>
      </c>
      <c r="D25" t="s">
        <v>8</v>
      </c>
      <c r="E25" t="s">
        <v>226</v>
      </c>
      <c r="F25" s="38">
        <v>7702349024442</v>
      </c>
      <c r="H25" t="str">
        <f>LEFT(Tabla4[[#This Row],[MATERIAL]],18)</f>
        <v xml:space="preserve">HUEVOS ORO A X 15 </v>
      </c>
    </row>
    <row r="26" spans="1:8" x14ac:dyDescent="0.35">
      <c r="A26">
        <v>30039</v>
      </c>
      <c r="B26" t="s">
        <v>55</v>
      </c>
      <c r="C26">
        <v>15</v>
      </c>
      <c r="D26" t="s">
        <v>8</v>
      </c>
      <c r="E26" t="s">
        <v>226</v>
      </c>
      <c r="F26" s="38" t="e">
        <f>_xlfn.XLOOKUP(Tabla4[[#This Row],[MATERIAL]],[3]Productos!$B:$B,[3]Productos!$A:$A)</f>
        <v>#N/A</v>
      </c>
      <c r="H26" t="str">
        <f>LEFT(Tabla4[[#This Row],[MATERIAL]],18)</f>
        <v xml:space="preserve">HUEVOS ORO A X 15 </v>
      </c>
    </row>
    <row r="27" spans="1:8" x14ac:dyDescent="0.35">
      <c r="A27">
        <v>30040</v>
      </c>
      <c r="B27" t="s">
        <v>59</v>
      </c>
      <c r="C27">
        <v>30</v>
      </c>
      <c r="D27" t="s">
        <v>8</v>
      </c>
      <c r="E27" t="s">
        <v>226</v>
      </c>
      <c r="F27" s="38">
        <f>_xlfn.XLOOKUP(Tabla4[[#This Row],[MATERIAL]],[3]Productos!$B:$B,[3]Productos!$A:$A)</f>
        <v>7702349024527</v>
      </c>
      <c r="H27" t="str">
        <f>LEFT(Tabla4[[#This Row],[MATERIAL]],18)</f>
        <v xml:space="preserve">HUEVOS ORO A X 30 </v>
      </c>
    </row>
    <row r="28" spans="1:8" x14ac:dyDescent="0.35">
      <c r="A28">
        <v>30041</v>
      </c>
      <c r="B28" t="s">
        <v>63</v>
      </c>
      <c r="C28">
        <v>6</v>
      </c>
      <c r="D28" t="s">
        <v>8</v>
      </c>
      <c r="E28" t="s">
        <v>226</v>
      </c>
      <c r="F28" s="38">
        <f>_xlfn.XLOOKUP(Tabla4[[#This Row],[MATERIAL]],[3]Productos!$B:$B,[3]Productos!$A:$A)</f>
        <v>7702349024237</v>
      </c>
      <c r="H28" t="str">
        <f>LEFT(Tabla4[[#This Row],[MATERIAL]],18)</f>
        <v>HUEVOS ORO A X 6 E</v>
      </c>
    </row>
    <row r="29" spans="1:8" x14ac:dyDescent="0.35">
      <c r="A29">
        <v>30043</v>
      </c>
      <c r="B29" t="s">
        <v>50</v>
      </c>
      <c r="C29">
        <v>12</v>
      </c>
      <c r="D29" t="s">
        <v>51</v>
      </c>
      <c r="E29" t="s">
        <v>224</v>
      </c>
      <c r="F29" s="38">
        <v>7702349023346</v>
      </c>
      <c r="G29" s="41">
        <v>7702349043344</v>
      </c>
      <c r="H29" t="str">
        <f>LEFT(Tabla4[[#This Row],[MATERIAL]],18)</f>
        <v>HUEVOS ORO AA X 12</v>
      </c>
    </row>
    <row r="30" spans="1:8" x14ac:dyDescent="0.35">
      <c r="A30">
        <v>30044</v>
      </c>
      <c r="B30" t="s">
        <v>68</v>
      </c>
      <c r="C30">
        <v>15</v>
      </c>
      <c r="D30" t="s">
        <v>51</v>
      </c>
      <c r="E30" t="s">
        <v>224</v>
      </c>
      <c r="F30" s="38">
        <f>_xlfn.XLOOKUP(Tabla4[[#This Row],[MATERIAL]],[3]Productos!$B:$B,[3]Productos!$A:$A)</f>
        <v>7702349023445</v>
      </c>
      <c r="H30" t="str">
        <f>LEFT(Tabla4[[#This Row],[MATERIAL]],18)</f>
        <v>HUEVOS ORO AA X 15</v>
      </c>
    </row>
    <row r="31" spans="1:8" x14ac:dyDescent="0.35">
      <c r="A31">
        <v>30045</v>
      </c>
      <c r="B31" t="s">
        <v>71</v>
      </c>
      <c r="C31">
        <v>15</v>
      </c>
      <c r="D31" t="s">
        <v>51</v>
      </c>
      <c r="E31" t="s">
        <v>224</v>
      </c>
      <c r="F31" s="38">
        <v>7702349023490</v>
      </c>
      <c r="H31" t="str">
        <f>LEFT(Tabla4[[#This Row],[MATERIAL]],18)</f>
        <v>HUEVOS ORO AA X 15</v>
      </c>
    </row>
    <row r="32" spans="1:8" x14ac:dyDescent="0.35">
      <c r="A32">
        <v>30046</v>
      </c>
      <c r="B32" t="s">
        <v>73</v>
      </c>
      <c r="C32">
        <v>30</v>
      </c>
      <c r="D32" t="s">
        <v>51</v>
      </c>
      <c r="E32" t="s">
        <v>224</v>
      </c>
      <c r="F32" s="38">
        <f>_xlfn.XLOOKUP(Tabla4[[#This Row],[MATERIAL]],[3]Productos!$B:$B,[3]Productos!$A:$A)</f>
        <v>7702349085207</v>
      </c>
      <c r="H32" t="str">
        <f>LEFT(Tabla4[[#This Row],[MATERIAL]],18)</f>
        <v>HUEVOS ORO AA X 30</v>
      </c>
    </row>
    <row r="33" spans="1:8" x14ac:dyDescent="0.35">
      <c r="A33">
        <v>30047</v>
      </c>
      <c r="B33" t="s">
        <v>76</v>
      </c>
      <c r="C33">
        <v>30</v>
      </c>
      <c r="D33" t="s">
        <v>51</v>
      </c>
      <c r="E33" t="s">
        <v>224</v>
      </c>
      <c r="F33" s="38">
        <f>_xlfn.XLOOKUP(Tabla4[[#This Row],[MATERIAL]],[3]Productos!$B:$B,[3]Productos!$A:$A)</f>
        <v>7702349023551</v>
      </c>
      <c r="H33" t="str">
        <f>LEFT(Tabla4[[#This Row],[MATERIAL]],18)</f>
        <v>HUEVOS ORO AA X 30</v>
      </c>
    </row>
    <row r="34" spans="1:8" x14ac:dyDescent="0.35">
      <c r="A34">
        <v>30048</v>
      </c>
      <c r="B34" t="s">
        <v>79</v>
      </c>
      <c r="C34">
        <v>6</v>
      </c>
      <c r="D34" t="s">
        <v>51</v>
      </c>
      <c r="E34" t="s">
        <v>224</v>
      </c>
      <c r="F34" s="38">
        <f>_xlfn.XLOOKUP(Tabla4[[#This Row],[MATERIAL]],[3]Productos!$B:$B,[3]Productos!$A:$A)</f>
        <v>7702349022929</v>
      </c>
      <c r="H34" t="str">
        <f>LEFT(Tabla4[[#This Row],[MATERIAL]],18)</f>
        <v xml:space="preserve">HUEVOS ORO AA X 6 </v>
      </c>
    </row>
    <row r="35" spans="1:8" x14ac:dyDescent="0.35">
      <c r="A35">
        <v>30049</v>
      </c>
      <c r="B35" t="s">
        <v>82</v>
      </c>
      <c r="C35">
        <v>12</v>
      </c>
      <c r="D35" t="s">
        <v>83</v>
      </c>
      <c r="E35" t="s">
        <v>231</v>
      </c>
      <c r="F35" s="38">
        <f>_xlfn.XLOOKUP(Tabla4[[#This Row],[MATERIAL]],[3]Productos!$B:$B,[3]Productos!$A:$A)</f>
        <v>7702349029621</v>
      </c>
      <c r="H35" t="str">
        <f>LEFT(Tabla4[[#This Row],[MATERIAL]],18)</f>
        <v>HUEVOS ORO AAA X 1</v>
      </c>
    </row>
    <row r="36" spans="1:8" x14ac:dyDescent="0.35">
      <c r="A36">
        <v>30050</v>
      </c>
      <c r="B36" t="s">
        <v>86</v>
      </c>
      <c r="C36">
        <v>15</v>
      </c>
      <c r="D36" t="s">
        <v>83</v>
      </c>
      <c r="E36" t="s">
        <v>231</v>
      </c>
      <c r="F36" s="38">
        <f>_xlfn.XLOOKUP(Tabla4[[#This Row],[MATERIAL]],[3]Productos!$B:$B,[3]Productos!$A:$A)</f>
        <v>7702349031310</v>
      </c>
      <c r="H36" t="str">
        <f>LEFT(Tabla4[[#This Row],[MATERIAL]],18)</f>
        <v>HUEVOS ORO AAA X 1</v>
      </c>
    </row>
    <row r="37" spans="1:8" x14ac:dyDescent="0.35">
      <c r="A37">
        <v>30051</v>
      </c>
      <c r="B37" t="s">
        <v>87</v>
      </c>
      <c r="C37">
        <v>15</v>
      </c>
      <c r="D37" t="s">
        <v>83</v>
      </c>
      <c r="E37" t="s">
        <v>231</v>
      </c>
      <c r="F37" s="38">
        <f>_xlfn.XLOOKUP(Tabla4[[#This Row],[MATERIAL]],[3]Productos!$B:$B,[3]Productos!$A:$A)</f>
        <v>7702349029614</v>
      </c>
      <c r="H37" t="str">
        <f>LEFT(Tabla4[[#This Row],[MATERIAL]],18)</f>
        <v>HUEVOS ORO AAA X 1</v>
      </c>
    </row>
    <row r="38" spans="1:8" x14ac:dyDescent="0.35">
      <c r="A38">
        <v>30052</v>
      </c>
      <c r="B38" t="s">
        <v>90</v>
      </c>
      <c r="C38">
        <v>30</v>
      </c>
      <c r="D38" t="s">
        <v>83</v>
      </c>
      <c r="E38" t="s">
        <v>231</v>
      </c>
      <c r="F38" s="38">
        <f>_xlfn.XLOOKUP(Tabla4[[#This Row],[MATERIAL]],[3]Productos!$B:$B,[3]Productos!$A:$A)</f>
        <v>7702349031488</v>
      </c>
      <c r="H38" s="4" t="str">
        <f>LEFT(Tabla4[[#This Row],[MATERIAL]],18)</f>
        <v>HUEVOS ORO AAA X 3</v>
      </c>
    </row>
    <row r="39" spans="1:8" x14ac:dyDescent="0.35">
      <c r="A39">
        <v>30053</v>
      </c>
      <c r="B39" t="s">
        <v>91</v>
      </c>
      <c r="C39">
        <v>30</v>
      </c>
      <c r="D39" t="s">
        <v>83</v>
      </c>
      <c r="E39" t="s">
        <v>231</v>
      </c>
      <c r="F39" s="38">
        <f>_xlfn.XLOOKUP(Tabla4[[#This Row],[MATERIAL]],[3]Productos!$B:$B,[3]Productos!$A:$A)</f>
        <v>7702349029607</v>
      </c>
      <c r="H39" s="4" t="str">
        <f>LEFT(Tabla4[[#This Row],[MATERIAL]],18)</f>
        <v>HUEVOS ORO AAA X 3</v>
      </c>
    </row>
    <row r="40" spans="1:8" x14ac:dyDescent="0.35">
      <c r="A40">
        <v>30054</v>
      </c>
      <c r="B40" t="s">
        <v>94</v>
      </c>
      <c r="C40">
        <v>20</v>
      </c>
      <c r="D40" t="s">
        <v>95</v>
      </c>
      <c r="E40" t="s">
        <v>232</v>
      </c>
      <c r="F40" s="38" t="e">
        <f>_xlfn.XLOOKUP(Tabla4[[#This Row],[MATERIAL]],[3]Productos!$B:$B,[3]Productos!$A:$A)</f>
        <v>#N/A</v>
      </c>
      <c r="H40" s="4" t="str">
        <f>LEFT(Tabla4[[#This Row],[MATERIAL]],18)</f>
        <v xml:space="preserve">HUEVOS ORO AAAA X </v>
      </c>
    </row>
    <row r="41" spans="1:8" x14ac:dyDescent="0.35">
      <c r="A41">
        <v>30055</v>
      </c>
      <c r="B41" t="s">
        <v>98</v>
      </c>
      <c r="C41">
        <v>15</v>
      </c>
      <c r="D41" t="s">
        <v>15</v>
      </c>
      <c r="E41" t="s">
        <v>233</v>
      </c>
      <c r="F41" s="38" t="e">
        <f>_xlfn.XLOOKUP(Tabla4[[#This Row],[MATERIAL]],[3]Productos!$B:$B,[3]Productos!$A:$A)</f>
        <v>#N/A</v>
      </c>
      <c r="H41" t="str">
        <f>LEFT(Tabla4[[#This Row],[MATERIAL]],18)</f>
        <v xml:space="preserve">HUEVOS ORO B X 15 </v>
      </c>
    </row>
    <row r="42" spans="1:8" x14ac:dyDescent="0.35">
      <c r="A42">
        <v>30056</v>
      </c>
      <c r="B42" t="s">
        <v>101</v>
      </c>
      <c r="C42">
        <v>30</v>
      </c>
      <c r="D42" t="s">
        <v>15</v>
      </c>
      <c r="E42" t="s">
        <v>233</v>
      </c>
      <c r="F42" s="38">
        <f>_xlfn.XLOOKUP(Tabla4[[#This Row],[MATERIAL]],[3]Productos!$B:$B,[3]Productos!$A:$A)</f>
        <v>7702349028556</v>
      </c>
      <c r="H42" t="str">
        <f>LEFT(Tabla4[[#This Row],[MATERIAL]],18)</f>
        <v xml:space="preserve">HUEVOS ORO B X 30 </v>
      </c>
    </row>
    <row r="43" spans="1:8" x14ac:dyDescent="0.35">
      <c r="A43">
        <v>30057</v>
      </c>
      <c r="B43" t="s">
        <v>151</v>
      </c>
      <c r="C43">
        <v>1</v>
      </c>
      <c r="D43" t="s">
        <v>8</v>
      </c>
      <c r="E43" t="s">
        <v>226</v>
      </c>
      <c r="F43" s="38" t="e">
        <f>_xlfn.XLOOKUP(Tabla4[[#This Row],[MATERIAL]],[3]Productos!$B:$B,[3]Productos!$A:$A)</f>
        <v>#N/A</v>
      </c>
      <c r="H43" t="str">
        <f>LEFT(Tabla4[[#This Row],[MATERIAL]],18)</f>
        <v xml:space="preserve">HUEVOS ORO ROJO A </v>
      </c>
    </row>
    <row r="44" spans="1:8" x14ac:dyDescent="0.35">
      <c r="A44">
        <v>30058</v>
      </c>
      <c r="B44" t="s">
        <v>164</v>
      </c>
      <c r="C44">
        <v>1</v>
      </c>
      <c r="D44" t="s">
        <v>51</v>
      </c>
      <c r="E44" t="s">
        <v>224</v>
      </c>
      <c r="F44" s="38" t="e">
        <f>_xlfn.XLOOKUP(Tabla4[[#This Row],[MATERIAL]],[3]Productos!$B:$B,[3]Productos!$A:$A)</f>
        <v>#N/A</v>
      </c>
      <c r="H44" t="str">
        <f>LEFT(Tabla4[[#This Row],[MATERIAL]],18)</f>
        <v>HUEVOS ORO ROJO AA</v>
      </c>
    </row>
    <row r="45" spans="1:8" x14ac:dyDescent="0.35">
      <c r="A45">
        <v>30059</v>
      </c>
      <c r="B45" t="s">
        <v>177</v>
      </c>
      <c r="C45">
        <v>1</v>
      </c>
      <c r="D45" t="s">
        <v>15</v>
      </c>
      <c r="E45" t="s">
        <v>233</v>
      </c>
      <c r="F45" s="38" t="e">
        <f>_xlfn.XLOOKUP(Tabla4[[#This Row],[MATERIAL]],[3]Productos!$B:$B,[3]Productos!$A:$A)</f>
        <v>#N/A</v>
      </c>
      <c r="H45" t="str">
        <f>LEFT(Tabla4[[#This Row],[MATERIAL]],18)</f>
        <v xml:space="preserve">HUEVOS ORO ROJO B </v>
      </c>
    </row>
    <row r="46" spans="1:8" x14ac:dyDescent="0.35">
      <c r="A46">
        <v>30060</v>
      </c>
      <c r="B46" t="s">
        <v>105</v>
      </c>
      <c r="C46">
        <v>11</v>
      </c>
      <c r="D46" t="s">
        <v>106</v>
      </c>
      <c r="E46" t="s">
        <v>234</v>
      </c>
      <c r="F46" s="38" t="e">
        <f>_xlfn.XLOOKUP(Tabla4[[#This Row],[MATERIAL]],[3]Productos!$B:$B,[3]Productos!$A:$A)</f>
        <v>#N/A</v>
      </c>
      <c r="H46" t="str">
        <f>LEFT(Tabla4[[#This Row],[MATERIAL]],18)</f>
        <v>HUEVOS ORO ROTO LI</v>
      </c>
    </row>
    <row r="47" spans="1:8" x14ac:dyDescent="0.35">
      <c r="A47">
        <v>30061</v>
      </c>
      <c r="B47" t="s">
        <v>181</v>
      </c>
      <c r="C47">
        <v>11</v>
      </c>
      <c r="D47" t="s">
        <v>106</v>
      </c>
      <c r="E47" t="s">
        <v>234</v>
      </c>
      <c r="F47" s="38" t="e">
        <f>_xlfn.XLOOKUP(Tabla4[[#This Row],[MATERIAL]],[3]Productos!$B:$B,[3]Productos!$A:$A)</f>
        <v>#N/A</v>
      </c>
      <c r="H47" t="str">
        <f>LEFT(Tabla4[[#This Row],[MATERIAL]],18)</f>
        <v>HUEVOS ORO ROTO LI</v>
      </c>
    </row>
    <row r="48" spans="1:8" x14ac:dyDescent="0.35">
      <c r="A48" s="3">
        <v>30067</v>
      </c>
      <c r="B48" s="3" t="s">
        <v>180</v>
      </c>
      <c r="C48">
        <v>1</v>
      </c>
      <c r="F48" s="38" t="e">
        <f>_xlfn.XLOOKUP(Tabla4[[#This Row],[MATERIAL]],[3]Productos!$B:$B,[3]Productos!$A:$A)</f>
        <v>#N/A</v>
      </c>
      <c r="H48" t="str">
        <f>LEFT(Tabla4[[#This Row],[MATERIAL]],18)</f>
        <v>HUEVOS ORO ROTO SU</v>
      </c>
    </row>
    <row r="49" spans="1:8" x14ac:dyDescent="0.35">
      <c r="A49">
        <v>30120</v>
      </c>
      <c r="B49" t="s">
        <v>178</v>
      </c>
      <c r="C49">
        <v>1</v>
      </c>
      <c r="F49" s="38" t="e">
        <f>_xlfn.XLOOKUP(Tabla4[[#This Row],[MATERIAL]],[3]Productos!$B:$B,[3]Productos!$A:$A)</f>
        <v>#N/A</v>
      </c>
      <c r="H49" t="str">
        <f>LEFT(Tabla4[[#This Row],[MATERIAL]],18)</f>
        <v>HUEVO ORO INDUSTRI</v>
      </c>
    </row>
    <row r="50" spans="1:8" x14ac:dyDescent="0.35">
      <c r="A50">
        <v>40002</v>
      </c>
      <c r="B50" t="s">
        <v>109</v>
      </c>
      <c r="C50">
        <v>1</v>
      </c>
      <c r="D50" t="s">
        <v>83</v>
      </c>
      <c r="E50" t="s">
        <v>231</v>
      </c>
      <c r="F50" s="38" t="e">
        <f>_xlfn.XLOOKUP(Tabla4[[#This Row],[MATERIAL]],[3]Productos!$B:$B,[3]Productos!$A:$A)</f>
        <v>#N/A</v>
      </c>
      <c r="H50" t="str">
        <f>LEFT(Tabla4[[#This Row],[MATERIAL]],18)</f>
        <v>HUEVO ORO ROJO AAA</v>
      </c>
    </row>
    <row r="51" spans="1:8" x14ac:dyDescent="0.35">
      <c r="A51">
        <v>40003</v>
      </c>
      <c r="B51" t="s">
        <v>113</v>
      </c>
      <c r="C51">
        <v>1</v>
      </c>
      <c r="D51" t="s">
        <v>95</v>
      </c>
      <c r="E51" t="s">
        <v>232</v>
      </c>
      <c r="F51" s="38" t="e">
        <f>_xlfn.XLOOKUP(Tabla4[[#This Row],[MATERIAL]],[3]Productos!$B:$B,[3]Productos!$A:$A)</f>
        <v>#N/A</v>
      </c>
      <c r="H51" t="str">
        <f>LEFT(Tabla4[[#This Row],[MATERIAL]],18)</f>
        <v>HUEVO ORO ROJO AAA</v>
      </c>
    </row>
    <row r="52" spans="1:8" x14ac:dyDescent="0.35">
      <c r="A52">
        <v>40004</v>
      </c>
      <c r="B52" t="s">
        <v>117</v>
      </c>
      <c r="C52">
        <v>1</v>
      </c>
      <c r="D52" t="s">
        <v>15</v>
      </c>
      <c r="E52" t="s">
        <v>233</v>
      </c>
      <c r="F52" s="38" t="e">
        <f>_xlfn.XLOOKUP(Tabla4[[#This Row],[MATERIAL]],[3]Productos!$B:$B,[3]Productos!$A:$A)</f>
        <v>#N/A</v>
      </c>
      <c r="H52" t="str">
        <f>LEFT(Tabla4[[#This Row],[MATERIAL]],18)</f>
        <v>HUEVO ORO ROJO B S</v>
      </c>
    </row>
    <row r="53" spans="1:8" x14ac:dyDescent="0.35">
      <c r="A53">
        <v>40005</v>
      </c>
      <c r="B53" t="s">
        <v>121</v>
      </c>
      <c r="C53">
        <v>1</v>
      </c>
      <c r="D53" t="s">
        <v>22</v>
      </c>
      <c r="E53" t="s">
        <v>227</v>
      </c>
      <c r="F53" s="38" t="e">
        <f>_xlfn.XLOOKUP(Tabla4[[#This Row],[MATERIAL]],[3]Productos!$B:$B,[3]Productos!$A:$A)</f>
        <v>#N/A</v>
      </c>
      <c r="H53" t="str">
        <f>LEFT(Tabla4[[#This Row],[MATERIAL]],18)</f>
        <v>HUEVO ORO ROJO C S</v>
      </c>
    </row>
    <row r="54" spans="1:8" x14ac:dyDescent="0.35">
      <c r="A54">
        <v>40006</v>
      </c>
      <c r="B54" t="s">
        <v>182</v>
      </c>
      <c r="C54">
        <v>11</v>
      </c>
      <c r="F54" s="38" t="e">
        <f>_xlfn.XLOOKUP(Tabla4[[#This Row],[MATERIAL]],[3]Productos!$B:$B,[3]Productos!$A:$A)</f>
        <v>#N/A</v>
      </c>
      <c r="H54" t="str">
        <f>LEFT(Tabla4[[#This Row],[MATERIAL]],18)</f>
        <v>HUEVO ORO ROTO LIM</v>
      </c>
    </row>
    <row r="55" spans="1:8" x14ac:dyDescent="0.35">
      <c r="A55">
        <v>40007</v>
      </c>
      <c r="B55" t="s">
        <v>125</v>
      </c>
      <c r="C55">
        <v>1</v>
      </c>
      <c r="D55" t="s">
        <v>8</v>
      </c>
      <c r="E55" t="s">
        <v>226</v>
      </c>
      <c r="F55" s="38" t="e">
        <f>_xlfn.XLOOKUP(Tabla4[[#This Row],[MATERIAL]],[3]Productos!$B:$B,[3]Productos!$A:$A)</f>
        <v>#N/A</v>
      </c>
      <c r="H55" t="str">
        <f>LEFT(Tabla4[[#This Row],[MATERIAL]],18)</f>
        <v xml:space="preserve">HUEVOS ORO ROJO A </v>
      </c>
    </row>
    <row r="56" spans="1:8" x14ac:dyDescent="0.35">
      <c r="A56">
        <v>40008</v>
      </c>
      <c r="B56" t="s">
        <v>129</v>
      </c>
      <c r="C56">
        <v>1</v>
      </c>
      <c r="D56" t="s">
        <v>51</v>
      </c>
      <c r="E56" t="s">
        <v>224</v>
      </c>
      <c r="F56" s="38" t="e">
        <f>_xlfn.XLOOKUP(Tabla4[[#This Row],[MATERIAL]],[3]Productos!$B:$B,[3]Productos!$A:$A)</f>
        <v>#N/A</v>
      </c>
      <c r="H56" t="str">
        <f>LEFT(Tabla4[[#This Row],[MATERIAL]],18)</f>
        <v>HUEVOS ORO ROJO AA</v>
      </c>
    </row>
    <row r="57" spans="1:8" x14ac:dyDescent="0.35">
      <c r="A57" s="3">
        <v>40025</v>
      </c>
      <c r="B57" s="3" t="s">
        <v>179</v>
      </c>
      <c r="C57">
        <v>1</v>
      </c>
      <c r="F57" s="38" t="e">
        <f>_xlfn.XLOOKUP(Tabla4[[#This Row],[MATERIAL]],[3]Productos!$B:$B,[3]Productos!$A:$A)</f>
        <v>#N/A</v>
      </c>
      <c r="H57" t="str">
        <f>LEFT(Tabla4[[#This Row],[MATERIAL]],18)</f>
        <v>HUEVO ORO ROJO SUR</v>
      </c>
    </row>
    <row r="58" spans="1:8" x14ac:dyDescent="0.35">
      <c r="A58" s="3">
        <v>40092</v>
      </c>
      <c r="B58" s="3" t="s">
        <v>161</v>
      </c>
      <c r="C58">
        <v>30</v>
      </c>
      <c r="D58" t="s">
        <v>8</v>
      </c>
      <c r="E58" t="s">
        <v>226</v>
      </c>
      <c r="F58" s="38">
        <f>_xlfn.XLOOKUP(Tabla4[[#This Row],[MATERIAL]],[3]Productos!$B:$B,[3]Productos!$A:$A)</f>
        <v>7703616077222</v>
      </c>
      <c r="H58" t="str">
        <f>LEFT(Tabla4[[#This Row],[MATERIAL]],18)</f>
        <v xml:space="preserve">HUEVOS MAXIMA A X </v>
      </c>
    </row>
    <row r="59" spans="1:8" x14ac:dyDescent="0.35">
      <c r="A59">
        <v>40105</v>
      </c>
      <c r="B59" t="s">
        <v>165</v>
      </c>
      <c r="C59">
        <v>15</v>
      </c>
      <c r="D59" t="s">
        <v>51</v>
      </c>
      <c r="E59" t="s">
        <v>224</v>
      </c>
      <c r="F59" s="38">
        <f>_xlfn.XLOOKUP(Tabla4[[#This Row],[MATERIAL]],[3]Productos!$B:$B,[3]Productos!$A:$A)</f>
        <v>7702349030368</v>
      </c>
      <c r="H59" t="str">
        <f>LEFT(Tabla4[[#This Row],[MATERIAL]],18)</f>
        <v>CAMPESINO TERMOENC</v>
      </c>
    </row>
    <row r="60" spans="1:8" x14ac:dyDescent="0.35">
      <c r="A60">
        <v>40105</v>
      </c>
      <c r="B60" t="s">
        <v>235</v>
      </c>
      <c r="C60">
        <v>15</v>
      </c>
      <c r="D60" t="s">
        <v>51</v>
      </c>
      <c r="E60" t="s">
        <v>224</v>
      </c>
      <c r="F60" s="38" t="e">
        <f>_xlfn.XLOOKUP(Tabla4[[#This Row],[MATERIAL]],[3]Productos!$B:$B,[3]Productos!$A:$A)</f>
        <v>#N/A</v>
      </c>
      <c r="H60" t="str">
        <f>LEFT(Tabla4[[#This Row],[MATERIAL]],18)</f>
        <v>CAMPESINO TERMOENC</v>
      </c>
    </row>
    <row r="61" spans="1:8" x14ac:dyDescent="0.35">
      <c r="A61">
        <v>40107</v>
      </c>
      <c r="B61" t="s">
        <v>153</v>
      </c>
      <c r="C61">
        <v>15</v>
      </c>
      <c r="D61" t="s">
        <v>8</v>
      </c>
      <c r="E61" t="s">
        <v>226</v>
      </c>
      <c r="F61" s="38">
        <f>_xlfn.XLOOKUP(Tabla4[[#This Row],[MATERIAL]],[3]Productos!$B:$B,[3]Productos!$A:$A)</f>
        <v>7702349030573</v>
      </c>
      <c r="H61" t="str">
        <f>LEFT(Tabla4[[#This Row],[MATERIAL]],18)</f>
        <v>JUNIOR X 15</v>
      </c>
    </row>
    <row r="62" spans="1:8" x14ac:dyDescent="0.35">
      <c r="A62" s="3">
        <v>40108</v>
      </c>
      <c r="B62" s="3" t="s">
        <v>236</v>
      </c>
      <c r="C62">
        <v>30</v>
      </c>
      <c r="F62" s="38" t="e">
        <f>_xlfn.XLOOKUP(Tabla4[[#This Row],[MATERIAL]],[3]Productos!$B:$B,[3]Productos!$A:$A)</f>
        <v>#N/A</v>
      </c>
      <c r="H62" t="str">
        <f>LEFT(Tabla4[[#This Row],[MATERIAL]],18)</f>
        <v xml:space="preserve">HUEVOS ORO B X 30 </v>
      </c>
    </row>
    <row r="63" spans="1:8" x14ac:dyDescent="0.35">
      <c r="A63" s="3">
        <v>40109</v>
      </c>
      <c r="B63" s="3" t="s">
        <v>156</v>
      </c>
      <c r="C63">
        <v>45</v>
      </c>
      <c r="D63" t="s">
        <v>8</v>
      </c>
      <c r="E63" t="s">
        <v>226</v>
      </c>
      <c r="F63" s="38" t="e">
        <f>_xlfn.XLOOKUP(Tabla4[[#This Row],[MATERIAL]],[3]Productos!$B:$B,[3]Productos!$A:$A)</f>
        <v>#N/A</v>
      </c>
      <c r="H63" t="str">
        <f>LEFT(Tabla4[[#This Row],[MATERIAL]],18)</f>
        <v xml:space="preserve">HUEVOS ORO A X 45 </v>
      </c>
    </row>
    <row r="64" spans="1:8" x14ac:dyDescent="0.35">
      <c r="A64" s="5">
        <v>40112</v>
      </c>
      <c r="B64" s="3" t="s">
        <v>166</v>
      </c>
      <c r="C64">
        <v>45</v>
      </c>
      <c r="D64" t="s">
        <v>51</v>
      </c>
      <c r="E64" t="s">
        <v>224</v>
      </c>
      <c r="F64" s="38">
        <f>_xlfn.XLOOKUP(Tabla4[[#This Row],[MATERIAL]],[3]Productos!$B:$B,[3]Productos!$A:$A)</f>
        <v>7702349026842</v>
      </c>
      <c r="H64" t="str">
        <f>LEFT(Tabla4[[#This Row],[MATERIAL]],18)</f>
        <v>HUEVOS ORO AA X 45</v>
      </c>
    </row>
    <row r="65" spans="1:14" x14ac:dyDescent="0.35">
      <c r="A65">
        <v>40134</v>
      </c>
      <c r="B65" t="s">
        <v>171</v>
      </c>
      <c r="C65">
        <v>12</v>
      </c>
      <c r="D65" t="s">
        <v>237</v>
      </c>
      <c r="E65" t="s">
        <v>238</v>
      </c>
      <c r="F65" s="38">
        <f>_xlfn.XLOOKUP(Tabla4[[#This Row],[MATERIAL]],[3]Productos!$B:$B,[3]Productos!$A:$A)</f>
        <v>7702349024350</v>
      </c>
      <c r="H65" t="str">
        <f>LEFT(Tabla4[[#This Row],[MATERIAL]],18)</f>
        <v>HUEVO ORO CEREALES</v>
      </c>
    </row>
    <row r="66" spans="1:14" x14ac:dyDescent="0.35">
      <c r="A66">
        <v>40135</v>
      </c>
      <c r="B66" t="s">
        <v>172</v>
      </c>
      <c r="C66">
        <v>12</v>
      </c>
      <c r="D66" t="s">
        <v>239</v>
      </c>
      <c r="E66" t="s">
        <v>240</v>
      </c>
      <c r="F66" s="38">
        <f>_xlfn.XLOOKUP(Tabla4[[#This Row],[MATERIAL]],[3]Productos!$B:$B,[3]Productos!$A:$A)</f>
        <v>7702349024367</v>
      </c>
      <c r="H66" t="str">
        <f>LEFT(Tabla4[[#This Row],[MATERIAL]],18)</f>
        <v>HUEVO ORO KOSHER X</v>
      </c>
    </row>
    <row r="67" spans="1:14" x14ac:dyDescent="0.35">
      <c r="A67">
        <v>40136</v>
      </c>
      <c r="B67" t="s">
        <v>173</v>
      </c>
      <c r="C67">
        <v>12</v>
      </c>
      <c r="F67" s="38" t="e">
        <f>_xlfn.XLOOKUP(Tabla4[[#This Row],[MATERIAL]],[3]Productos!$B:$B,[3]Productos!$A:$A)</f>
        <v>#N/A</v>
      </c>
      <c r="H67" t="str">
        <f>LEFT(Tabla4[[#This Row],[MATERIAL]],18)</f>
        <v xml:space="preserve">HUEVO ORO OMEGA X </v>
      </c>
      <c r="J67" s="7"/>
      <c r="K67" s="7"/>
      <c r="L67" s="7"/>
      <c r="M67" s="7"/>
    </row>
    <row r="68" spans="1:14" x14ac:dyDescent="0.35">
      <c r="A68">
        <v>40137</v>
      </c>
      <c r="B68" t="s">
        <v>174</v>
      </c>
      <c r="C68">
        <v>12</v>
      </c>
      <c r="D68" t="s">
        <v>241</v>
      </c>
      <c r="E68" t="s">
        <v>242</v>
      </c>
      <c r="F68" s="38">
        <f>_xlfn.XLOOKUP(Tabla4[[#This Row],[MATERIAL]],[3]Productos!$B:$B,[3]Productos!$A:$A)</f>
        <v>7702349024381</v>
      </c>
      <c r="H68" t="str">
        <f>LEFT(Tabla4[[#This Row],[MATERIAL]],18)</f>
        <v>HUEVO ORO VEGETARI</v>
      </c>
      <c r="J68" s="8"/>
      <c r="K68" s="8"/>
      <c r="L68" s="8"/>
      <c r="M68" s="8"/>
    </row>
    <row r="69" spans="1:14" x14ac:dyDescent="0.35">
      <c r="A69" s="3">
        <v>40174</v>
      </c>
      <c r="B69" s="3" t="s">
        <v>179</v>
      </c>
      <c r="C69">
        <v>1</v>
      </c>
      <c r="D69" t="s">
        <v>32</v>
      </c>
      <c r="E69" t="s">
        <v>229</v>
      </c>
      <c r="F69" s="38" t="e">
        <f>_xlfn.XLOOKUP(Tabla4[[#This Row],[MATERIAL]],[3]Productos!$B:$B,[3]Productos!$A:$A)</f>
        <v>#N/A</v>
      </c>
      <c r="H69" t="str">
        <f>LEFT(Tabla4[[#This Row],[MATERIAL]],18)</f>
        <v>HUEVO ORO ROJO SUR</v>
      </c>
      <c r="J69" s="8"/>
      <c r="K69" s="8"/>
      <c r="L69" s="8"/>
      <c r="M69" s="8"/>
    </row>
    <row r="70" spans="1:14" x14ac:dyDescent="0.35">
      <c r="A70" s="3">
        <v>40205</v>
      </c>
      <c r="B70" s="3" t="s">
        <v>176</v>
      </c>
      <c r="C70">
        <v>20</v>
      </c>
      <c r="D70" t="s">
        <v>95</v>
      </c>
      <c r="E70" t="s">
        <v>232</v>
      </c>
      <c r="F70" s="39">
        <f>_xlfn.XLOOKUP(Tabla4[[#This Row],[MATERIAL]],[3]Productos!$B:$B,[3]Productos!$A:$A)</f>
        <v>7702349025692</v>
      </c>
      <c r="H70" t="str">
        <f>LEFT(Tabla4[[#This Row],[MATERIAL]],18)</f>
        <v xml:space="preserve">HUEVOS ORO PLUS X </v>
      </c>
      <c r="J70" s="8"/>
      <c r="K70" s="8"/>
      <c r="L70" s="8"/>
      <c r="M70" s="8"/>
      <c r="N70" s="9"/>
    </row>
    <row r="71" spans="1:14" x14ac:dyDescent="0.35">
      <c r="A71" s="3">
        <v>40235</v>
      </c>
      <c r="B71" s="3" t="s">
        <v>158</v>
      </c>
      <c r="C71">
        <v>12</v>
      </c>
      <c r="D71" t="s">
        <v>8</v>
      </c>
      <c r="E71" t="s">
        <v>226</v>
      </c>
      <c r="F71" s="38">
        <f>_xlfn.XLOOKUP(Tabla4[[#This Row],[MATERIAL]],[3]Productos!$B:$B,[3]Productos!$A:$A)</f>
        <v>7701009131018</v>
      </c>
      <c r="H71" t="str">
        <f>LEFT(Tabla4[[#This Row],[MATERIAL]],18)</f>
        <v xml:space="preserve">COLSUBSIDIO A X12 </v>
      </c>
      <c r="I71" s="10"/>
      <c r="J71" s="11"/>
      <c r="K71" s="11"/>
      <c r="L71" s="11"/>
      <c r="M71" s="11"/>
    </row>
    <row r="72" spans="1:14" x14ac:dyDescent="0.35">
      <c r="A72" s="3">
        <v>40237</v>
      </c>
      <c r="B72" s="3" t="s">
        <v>168</v>
      </c>
      <c r="C72">
        <v>12</v>
      </c>
      <c r="D72" t="s">
        <v>51</v>
      </c>
      <c r="E72" t="s">
        <v>224</v>
      </c>
      <c r="F72" s="38">
        <f>_xlfn.XLOOKUP(Tabla4[[#This Row],[MATERIAL]],[3]Productos!$B:$B,[3]Productos!$A:$A)</f>
        <v>7701009131025</v>
      </c>
      <c r="H72" t="str">
        <f>LEFT(Tabla4[[#This Row],[MATERIAL]],18)</f>
        <v>COLSUBSIDIO AA X 1</v>
      </c>
      <c r="J72" s="9"/>
      <c r="K72" s="9"/>
      <c r="L72" s="9"/>
      <c r="M72" s="9"/>
    </row>
    <row r="73" spans="1:14" x14ac:dyDescent="0.35">
      <c r="A73" s="3">
        <v>40239</v>
      </c>
      <c r="B73" s="3" t="s">
        <v>169</v>
      </c>
      <c r="C73">
        <v>30</v>
      </c>
      <c r="D73" t="s">
        <v>51</v>
      </c>
      <c r="E73" t="s">
        <v>224</v>
      </c>
      <c r="F73" s="38">
        <f>_xlfn.XLOOKUP(Tabla4[[#This Row],[MATERIAL]],[3]Productos!$B:$B,[3]Productos!$A:$A)</f>
        <v>7701009130998</v>
      </c>
      <c r="H73" t="str">
        <f>LEFT(Tabla4[[#This Row],[MATERIAL]],18)</f>
        <v>COLSUB AA X 30 TER</v>
      </c>
    </row>
    <row r="74" spans="1:14" x14ac:dyDescent="0.35">
      <c r="A74" s="3">
        <v>40240</v>
      </c>
      <c r="B74" s="3" t="s">
        <v>162</v>
      </c>
      <c r="C74">
        <v>30</v>
      </c>
      <c r="D74" t="s">
        <v>8</v>
      </c>
      <c r="E74" t="s">
        <v>226</v>
      </c>
      <c r="F74" s="38">
        <f>_xlfn.XLOOKUP(Tabla4[[#This Row],[MATERIAL]],[3]Productos!$B:$B,[3]Productos!$A:$A)</f>
        <v>7701009131001</v>
      </c>
      <c r="H74" t="str">
        <f>LEFT(Tabla4[[#This Row],[MATERIAL]],18)</f>
        <v>COLSUB A X 30 TERM</v>
      </c>
    </row>
    <row r="75" spans="1:14" x14ac:dyDescent="0.35">
      <c r="A75" s="3">
        <v>40241</v>
      </c>
      <c r="B75" s="3" t="s">
        <v>160</v>
      </c>
      <c r="C75">
        <v>15</v>
      </c>
      <c r="D75" t="s">
        <v>8</v>
      </c>
      <c r="E75" t="s">
        <v>226</v>
      </c>
      <c r="F75" s="38">
        <f>_xlfn.XLOOKUP(Tabla4[[#This Row],[MATERIAL]],[3]Productos!$B:$B,[3]Productos!$A:$A)</f>
        <v>7701009130981</v>
      </c>
      <c r="H75" t="str">
        <f>LEFT(Tabla4[[#This Row],[MATERIAL]],18)</f>
        <v xml:space="preserve">COLSUBSIDIO A X15 </v>
      </c>
    </row>
    <row r="76" spans="1:14" x14ac:dyDescent="0.35">
      <c r="A76" s="3">
        <v>40242</v>
      </c>
      <c r="B76" s="3" t="s">
        <v>163</v>
      </c>
      <c r="C76">
        <v>30</v>
      </c>
      <c r="D76" t="s">
        <v>8</v>
      </c>
      <c r="E76" t="s">
        <v>226</v>
      </c>
      <c r="F76" s="38">
        <f>_xlfn.XLOOKUP(Tabla4[[#This Row],[MATERIAL]],[3]Productos!$B:$B,[3]Productos!$A:$A)</f>
        <v>7701009130974</v>
      </c>
      <c r="H76" t="str">
        <f>LEFT(Tabla4[[#This Row],[MATERIAL]],18)</f>
        <v>COLSUBSIDIO A X 30</v>
      </c>
    </row>
    <row r="77" spans="1:14" x14ac:dyDescent="0.35">
      <c r="A77" s="3">
        <v>40254</v>
      </c>
      <c r="B77" s="3" t="s">
        <v>175</v>
      </c>
      <c r="C77">
        <v>12</v>
      </c>
      <c r="D77" t="s">
        <v>243</v>
      </c>
      <c r="E77" t="s">
        <v>244</v>
      </c>
      <c r="F77" s="38">
        <f>_xlfn.XLOOKUP(Tabla4[[#This Row],[MATERIAL]],[3]Productos!$B:$B,[3]Productos!$A:$A)</f>
        <v>7702349030917</v>
      </c>
      <c r="H77" t="str">
        <f>LEFT(Tabla4[[#This Row],[MATERIAL]],18)</f>
        <v>HUEVOS ORO DHA X 1</v>
      </c>
    </row>
    <row r="78" spans="1:14" x14ac:dyDescent="0.35">
      <c r="A78">
        <v>40265</v>
      </c>
      <c r="B78" t="s">
        <v>170</v>
      </c>
      <c r="C78">
        <v>30</v>
      </c>
      <c r="D78" t="s">
        <v>83</v>
      </c>
      <c r="E78" t="s">
        <v>231</v>
      </c>
      <c r="F78" s="38">
        <f>_xlfn.XLOOKUP(Tabla4[[#This Row],[MATERIAL]],[3]Productos!$B:$B,[3]Productos!$A:$A)</f>
        <v>7702349031013</v>
      </c>
      <c r="H78" t="str">
        <f>LEFT(Tabla4[[#This Row],[MATERIAL]],18)</f>
        <v>HUEVOS ORO PLUS AA</v>
      </c>
    </row>
    <row r="79" spans="1:14" x14ac:dyDescent="0.35">
      <c r="A79" s="3">
        <v>40271</v>
      </c>
      <c r="B79" s="3" t="s">
        <v>159</v>
      </c>
      <c r="C79">
        <v>12</v>
      </c>
      <c r="F79" s="38" t="e">
        <f>_xlfn.XLOOKUP(Tabla4[[#This Row],[MATERIAL]],[3]Productos!$B:$B,[3]Productos!$A:$A)</f>
        <v>#N/A</v>
      </c>
      <c r="H79" t="str">
        <f>LEFT(Tabla4[[#This Row],[MATERIAL]],18)</f>
        <v>HUEVO A X 12 EKONO</v>
      </c>
    </row>
    <row r="80" spans="1:14" x14ac:dyDescent="0.35">
      <c r="A80" s="12">
        <v>40327</v>
      </c>
      <c r="B80" t="s">
        <v>167</v>
      </c>
      <c r="C80">
        <v>60</v>
      </c>
      <c r="D80" t="s">
        <v>51</v>
      </c>
      <c r="E80" t="s">
        <v>224</v>
      </c>
      <c r="F80" s="38">
        <f>_xlfn.XLOOKUP(Tabla4[[#This Row],[MATERIAL]],[3]Productos!$B:$B,[3]Productos!$A:$A)</f>
        <v>7702349025685</v>
      </c>
      <c r="H80" t="str">
        <f>LEFT(Tabla4[[#This Row],[MATERIAL]],18)</f>
        <v>HUEVOS ORO AA AMAR</v>
      </c>
    </row>
    <row r="81" spans="1:13" x14ac:dyDescent="0.35">
      <c r="A81" s="47">
        <v>40404</v>
      </c>
      <c r="B81" s="47" t="s">
        <v>186</v>
      </c>
      <c r="C81">
        <v>30</v>
      </c>
      <c r="D81" t="s">
        <v>8</v>
      </c>
      <c r="E81" t="s">
        <v>226</v>
      </c>
      <c r="F81" s="38">
        <f>_xlfn.XLOOKUP(Tabla4[[#This Row],[MATERIAL]],[3]Productos!$B:$B,[3]Productos!$A:$A)</f>
        <v>7701009146258</v>
      </c>
      <c r="H81" t="str">
        <f>LEFT(Tabla4[[#This Row],[MATERIAL]],18)</f>
        <v>SUPER PRECIO AMARR</v>
      </c>
    </row>
    <row r="82" spans="1:13" x14ac:dyDescent="0.35">
      <c r="A82" s="3">
        <v>40434</v>
      </c>
      <c r="B82" s="3" t="s">
        <v>245</v>
      </c>
      <c r="C82">
        <v>60</v>
      </c>
      <c r="D82" t="s">
        <v>15</v>
      </c>
      <c r="E82" t="s">
        <v>233</v>
      </c>
      <c r="F82" s="38">
        <f>_xlfn.XLOOKUP(Tabla4[[#This Row],[MATERIAL]],[3]Productos!$B:$B,[3]Productos!$A:$A)</f>
        <v>7702349025807</v>
      </c>
      <c r="H82" t="str">
        <f>LEFT(Tabla4[[#This Row],[MATERIAL]],18)</f>
        <v xml:space="preserve">HUEVOS ORO B X 60 </v>
      </c>
    </row>
    <row r="83" spans="1:13" x14ac:dyDescent="0.35">
      <c r="A83">
        <v>40457</v>
      </c>
      <c r="B83" t="s">
        <v>246</v>
      </c>
      <c r="C83">
        <v>30</v>
      </c>
      <c r="D83" t="s">
        <v>8</v>
      </c>
      <c r="E83" t="s">
        <v>226</v>
      </c>
      <c r="F83" s="38">
        <f>_xlfn.XLOOKUP(Tabla4[[#This Row],[MATERIAL]],[3]Productos!$B:$B,[3]Productos!$A:$A)</f>
        <v>7701001729749</v>
      </c>
      <c r="H83" t="str">
        <f>LEFT(Tabla4[[#This Row],[MATERIAL]],18)</f>
        <v>HUEVO AX30 FRESCAM</v>
      </c>
    </row>
    <row r="84" spans="1:13" x14ac:dyDescent="0.35">
      <c r="A84" s="3">
        <v>40463</v>
      </c>
      <c r="B84" s="3" t="s">
        <v>247</v>
      </c>
      <c r="C84">
        <v>60</v>
      </c>
      <c r="D84" t="s">
        <v>8</v>
      </c>
      <c r="E84" t="s">
        <v>226</v>
      </c>
      <c r="F84" s="38">
        <f>_xlfn.XLOOKUP(Tabla4[[#This Row],[MATERIAL]],[3]Productos!$B:$B,[3]Productos!$A:$A)</f>
        <v>7702349025906</v>
      </c>
      <c r="H84" t="str">
        <f>LEFT(Tabla4[[#This Row],[MATERIAL]],18)</f>
        <v xml:space="preserve">HUEVOS ORO A X 60 </v>
      </c>
    </row>
    <row r="85" spans="1:13" x14ac:dyDescent="0.35">
      <c r="A85">
        <v>40475</v>
      </c>
      <c r="B85" t="s">
        <v>248</v>
      </c>
      <c r="C85">
        <v>12</v>
      </c>
      <c r="D85" t="s">
        <v>83</v>
      </c>
      <c r="E85" t="s">
        <v>231</v>
      </c>
      <c r="F85" s="38">
        <v>7702349035080</v>
      </c>
      <c r="H85" t="str">
        <f>LEFT(Tabla4[[#This Row],[MATERIAL]],18)</f>
        <v>HUEVOS ORO PLUS AA</v>
      </c>
    </row>
    <row r="86" spans="1:13" x14ac:dyDescent="0.35">
      <c r="A86">
        <v>40477</v>
      </c>
      <c r="B86" t="s">
        <v>249</v>
      </c>
      <c r="C86">
        <v>15</v>
      </c>
      <c r="D86" t="s">
        <v>83</v>
      </c>
      <c r="E86" t="s">
        <v>231</v>
      </c>
      <c r="F86" s="38">
        <f>_xlfn.XLOOKUP(Tabla4[[#This Row],[MATERIAL]],[3]Productos!$B:$B,[3]Productos!$A:$A)</f>
        <v>7702349037268</v>
      </c>
      <c r="H86" t="str">
        <f>LEFT(Tabla4[[#This Row],[MATERIAL]],18)</f>
        <v>HUEVOS ORO PLUS AA</v>
      </c>
    </row>
    <row r="87" spans="1:13" x14ac:dyDescent="0.35">
      <c r="A87">
        <v>40484</v>
      </c>
      <c r="B87" t="s">
        <v>250</v>
      </c>
      <c r="C87">
        <v>45</v>
      </c>
      <c r="D87" t="s">
        <v>83</v>
      </c>
      <c r="E87" t="s">
        <v>231</v>
      </c>
      <c r="F87" s="38">
        <f>_xlfn.XLOOKUP(Tabla4[[#This Row],[MATERIAL]],[3]Productos!$B:$B,[3]Productos!$A:$A)</f>
        <v>7702349197986</v>
      </c>
      <c r="H87" t="str">
        <f>LEFT(Tabla4[[#This Row],[MATERIAL]],18)</f>
        <v>HUEVOS ORO AAA X 4</v>
      </c>
    </row>
    <row r="88" spans="1:13" x14ac:dyDescent="0.35">
      <c r="A88">
        <v>40515</v>
      </c>
      <c r="B88" t="s">
        <v>251</v>
      </c>
      <c r="C88">
        <v>15</v>
      </c>
      <c r="D88" t="s">
        <v>51</v>
      </c>
      <c r="E88" t="s">
        <v>224</v>
      </c>
      <c r="F88" s="38" t="e">
        <f>_xlfn.XLOOKUP(Tabla4[[#This Row],[MATERIAL]],[3]Productos!$B:$B,[3]Productos!$A:$A)</f>
        <v>#N/A</v>
      </c>
      <c r="H88" t="str">
        <f>LEFT(Tabla4[[#This Row],[MATERIAL]],18)</f>
        <v>TAEQ  AA X 15  EST</v>
      </c>
    </row>
    <row r="89" spans="1:13" x14ac:dyDescent="0.35">
      <c r="A89">
        <v>40525</v>
      </c>
      <c r="B89" s="3" t="s">
        <v>252</v>
      </c>
      <c r="C89">
        <v>60</v>
      </c>
      <c r="D89" t="s">
        <v>51</v>
      </c>
      <c r="E89" t="s">
        <v>224</v>
      </c>
      <c r="F89" s="38">
        <f>_xlfn.XLOOKUP(Tabla4[[#This Row],[MATERIAL]],[3]Productos!$B:$B,[3]Productos!$A:$A)</f>
        <v>7702349139511</v>
      </c>
      <c r="H89" t="str">
        <f>LEFT(Tabla4[[#This Row],[MATERIAL]],18)</f>
        <v>CAMPESINO TERMOENC</v>
      </c>
    </row>
    <row r="90" spans="1:13" x14ac:dyDescent="0.35">
      <c r="A90">
        <v>40526</v>
      </c>
      <c r="B90" s="3" t="s">
        <v>253</v>
      </c>
      <c r="C90">
        <v>30</v>
      </c>
      <c r="D90" t="s">
        <v>239</v>
      </c>
      <c r="E90" t="s">
        <v>240</v>
      </c>
      <c r="F90" s="38">
        <f>_xlfn.XLOOKUP(Tabla4[[#This Row],[MATERIAL]],[3]Productos!$B:$B,[3]Productos!$A:$A)</f>
        <v>7702349945822</v>
      </c>
      <c r="H90" t="str">
        <f>LEFT(Tabla4[[#This Row],[MATERIAL]],18)</f>
        <v>HUEVO ORO KOSHER X</v>
      </c>
    </row>
    <row r="91" spans="1:13" x14ac:dyDescent="0.35">
      <c r="A91" s="32">
        <v>40536</v>
      </c>
      <c r="B91" s="32" t="s">
        <v>254</v>
      </c>
      <c r="C91" s="32">
        <v>6</v>
      </c>
      <c r="D91" s="36" t="s">
        <v>51</v>
      </c>
      <c r="E91" s="36" t="s">
        <v>224</v>
      </c>
      <c r="F91" s="38">
        <f>_xlfn.XLOOKUP(Tabla4[[#This Row],[MATERIAL]],[3]Productos!$B:$B,[3]Productos!$A:$A)</f>
        <v>7702349979353</v>
      </c>
      <c r="H91" t="str">
        <f>LEFT(Tabla4[[#This Row],[MATERIAL]],18)</f>
        <v>CAMPESINO X 6</v>
      </c>
    </row>
    <row r="92" spans="1:13" x14ac:dyDescent="0.35">
      <c r="A92" s="3">
        <v>40537</v>
      </c>
      <c r="B92" s="3" t="s">
        <v>255</v>
      </c>
      <c r="C92">
        <v>30</v>
      </c>
      <c r="D92" t="s">
        <v>51</v>
      </c>
      <c r="E92" t="s">
        <v>224</v>
      </c>
      <c r="F92" s="38">
        <f>_xlfn.XLOOKUP(Tabla4[[#This Row],[MATERIAL]],[3]Productos!$B:$B,[3]Productos!$A:$A)</f>
        <v>7702349898449</v>
      </c>
      <c r="H92" t="str">
        <f>LEFT(Tabla4[[#This Row],[MATERIAL]],18)</f>
        <v>HUEVOS ORO PLUS AA</v>
      </c>
      <c r="J92" s="4"/>
      <c r="K92" s="4"/>
      <c r="L92" s="4"/>
      <c r="M92" s="4"/>
    </row>
    <row r="93" spans="1:13" x14ac:dyDescent="0.35">
      <c r="A93" s="32">
        <v>40538</v>
      </c>
      <c r="B93" s="32" t="s">
        <v>256</v>
      </c>
      <c r="C93" s="32">
        <v>15</v>
      </c>
      <c r="D93" s="36" t="s">
        <v>51</v>
      </c>
      <c r="E93" s="36" t="s">
        <v>224</v>
      </c>
      <c r="F93" s="38">
        <f>_xlfn.XLOOKUP(Tabla4[[#This Row],[MATERIAL]],[3]Productos!$B:$B,[3]Productos!$A:$A)</f>
        <v>7702349006295</v>
      </c>
      <c r="H93" t="str">
        <f>LEFT(Tabla4[[#This Row],[MATERIAL]],18)</f>
        <v>HUEVOS ORO AA PLUS</v>
      </c>
    </row>
    <row r="94" spans="1:13" x14ac:dyDescent="0.35">
      <c r="A94" s="33">
        <v>40572</v>
      </c>
      <c r="B94" s="34" t="s">
        <v>257</v>
      </c>
      <c r="C94" s="35">
        <v>10</v>
      </c>
      <c r="D94" s="35" t="s">
        <v>8</v>
      </c>
      <c r="E94" s="37" t="s">
        <v>226</v>
      </c>
      <c r="F94" s="40" t="e">
        <f>_xlfn.XLOOKUP(Tabla4[[#This Row],[MATERIAL]],[3]Productos!$B:$B,[3]Productos!$A:$A)</f>
        <v>#N/A</v>
      </c>
      <c r="G94" s="30"/>
      <c r="H94" s="31" t="str">
        <f>LEFT(Tabla4[[#This Row],[MATERIAL]],18)</f>
        <v xml:space="preserve">HUEVOS ORO A X 10 </v>
      </c>
    </row>
    <row r="95" spans="1:13" x14ac:dyDescent="0.35">
      <c r="A95" s="33">
        <v>40589</v>
      </c>
      <c r="B95" s="34" t="s">
        <v>258</v>
      </c>
      <c r="C95" s="35">
        <v>12</v>
      </c>
      <c r="D95" s="35" t="s">
        <v>8</v>
      </c>
      <c r="E95" s="37" t="s">
        <v>226</v>
      </c>
      <c r="F95" s="38" t="e">
        <f>_xlfn.XLOOKUP(Tabla4[[#This Row],[MATERIAL]],[3]Productos!$B:$B,[3]Productos!$A:$A)</f>
        <v>#N/A</v>
      </c>
      <c r="H95" t="str">
        <f>LEFT(Tabla4[[#This Row],[MATERIAL]],18)</f>
        <v xml:space="preserve">HUEVOS ORO A X 12 </v>
      </c>
    </row>
    <row r="96" spans="1:13" x14ac:dyDescent="0.35">
      <c r="A96" s="3">
        <v>70001</v>
      </c>
      <c r="B96" s="3" t="s">
        <v>183</v>
      </c>
      <c r="F96" s="38" t="e">
        <f>_xlfn.XLOOKUP(Tabla4[[#This Row],[MATERIAL]],[3]Productos!$B:$B,[3]Productos!$A:$A)</f>
        <v>#N/A</v>
      </c>
      <c r="H96" t="str">
        <f>LEFT(Tabla4[[#This Row],[MATERIAL]],18)</f>
        <v>GALLINAZA</v>
      </c>
    </row>
    <row r="97" spans="1:8" ht="13.9" customHeight="1" x14ac:dyDescent="0.35">
      <c r="A97" s="3">
        <v>70002</v>
      </c>
      <c r="B97" s="3" t="s">
        <v>185</v>
      </c>
      <c r="F97" s="38" t="e">
        <f>_xlfn.XLOOKUP(Tabla4[[#This Row],[MATERIAL]],[3]Productos!$B:$B,[3]Productos!$A:$A)</f>
        <v>#N/A</v>
      </c>
      <c r="H97" t="str">
        <f>LEFT(Tabla4[[#This Row],[MATERIAL]],18)</f>
        <v>POLLINAZA</v>
      </c>
    </row>
    <row r="98" spans="1:8" x14ac:dyDescent="0.35">
      <c r="A98" s="3">
        <v>90014</v>
      </c>
      <c r="B98" s="3" t="s">
        <v>184</v>
      </c>
      <c r="C98">
        <v>1</v>
      </c>
      <c r="F98" s="38" t="e">
        <f>_xlfn.XLOOKUP(Tabla4[[#This Row],[MATERIAL]],[3]Productos!$B:$B,[3]Productos!$A:$A)</f>
        <v>#N/A</v>
      </c>
      <c r="H98" t="str">
        <f>LEFT(Tabla4[[#This Row],[MATERIAL]],18)</f>
        <v>VENTA DE AVES</v>
      </c>
    </row>
    <row r="99" spans="1:8" x14ac:dyDescent="0.35">
      <c r="A99" s="3">
        <v>40601</v>
      </c>
      <c r="B99" s="3" t="s">
        <v>259</v>
      </c>
      <c r="C99">
        <v>1</v>
      </c>
      <c r="D99" s="35" t="s">
        <v>8</v>
      </c>
      <c r="E99" s="37" t="s">
        <v>226</v>
      </c>
      <c r="F99" s="38" t="e">
        <f>_xlfn.XLOOKUP(Tabla4[[#This Row],[MATERIAL]],[3]Productos!$B:$B,[3]Productos!$A:$A)</f>
        <v>#N/A</v>
      </c>
      <c r="H99" t="str">
        <f>LEFT(Tabla4[[#This Row],[MATERIAL]],18)</f>
        <v xml:space="preserve">HUEVOS ORO ROJO A </v>
      </c>
    </row>
    <row r="100" spans="1:8" x14ac:dyDescent="0.35">
      <c r="A100" s="3">
        <v>40602</v>
      </c>
      <c r="B100" s="3" t="s">
        <v>260</v>
      </c>
      <c r="C100">
        <v>1</v>
      </c>
      <c r="D100" s="36" t="s">
        <v>51</v>
      </c>
      <c r="E100" s="36" t="s">
        <v>224</v>
      </c>
      <c r="F100" s="38" t="e">
        <f>_xlfn.XLOOKUP(Tabla4[[#This Row],[MATERIAL]],[3]Productos!$B:$B,[3]Productos!$A:$A)</f>
        <v>#N/A</v>
      </c>
      <c r="H100" t="str">
        <f>LEFT(Tabla4[[#This Row],[MATERIAL]],18)</f>
        <v>HUEVOS ORO ROJO AA</v>
      </c>
    </row>
    <row r="101" spans="1:8" x14ac:dyDescent="0.35">
      <c r="A101" s="3">
        <v>40603</v>
      </c>
      <c r="B101" s="3" t="s">
        <v>261</v>
      </c>
      <c r="C101">
        <v>1</v>
      </c>
      <c r="D101" t="s">
        <v>83</v>
      </c>
      <c r="E101" t="s">
        <v>231</v>
      </c>
      <c r="F101" s="38" t="e">
        <f>_xlfn.XLOOKUP(Tabla4[[#This Row],[MATERIAL]],[3]Productos!$B:$B,[3]Productos!$A:$A)</f>
        <v>#N/A</v>
      </c>
      <c r="H101" t="str">
        <f>LEFT(Tabla4[[#This Row],[MATERIAL]],18)</f>
        <v>HUEVO ORO ROJO AAA</v>
      </c>
    </row>
    <row r="102" spans="1:8" x14ac:dyDescent="0.35">
      <c r="A102" s="3">
        <v>40604</v>
      </c>
      <c r="B102" s="3" t="s">
        <v>262</v>
      </c>
      <c r="C102">
        <v>1</v>
      </c>
      <c r="D102" t="s">
        <v>95</v>
      </c>
      <c r="E102" t="s">
        <v>232</v>
      </c>
      <c r="F102" s="38" t="e">
        <f>_xlfn.XLOOKUP(Tabla4[[#This Row],[MATERIAL]],[3]Productos!$B:$B,[3]Productos!$A:$A)</f>
        <v>#N/A</v>
      </c>
      <c r="H102" t="str">
        <f>LEFT(Tabla4[[#This Row],[MATERIAL]],18)</f>
        <v>HUEVO ORO ROJO AAA</v>
      </c>
    </row>
    <row r="103" spans="1:8" x14ac:dyDescent="0.35">
      <c r="A103" s="48">
        <v>40605</v>
      </c>
      <c r="B103" t="s">
        <v>263</v>
      </c>
      <c r="C103">
        <v>1</v>
      </c>
      <c r="D103" t="s">
        <v>15</v>
      </c>
      <c r="E103" t="s">
        <v>233</v>
      </c>
      <c r="F103" s="38" t="e">
        <f>_xlfn.XLOOKUP(Tabla4[[#This Row],[MATERIAL]],[3]Productos!$B:$B,[3]Productos!$A:$A)</f>
        <v>#N/A</v>
      </c>
      <c r="H103" t="str">
        <f>LEFT(Tabla4[[#This Row],[MATERIAL]],18)</f>
        <v>HUEVO ORO ROJO B I</v>
      </c>
    </row>
    <row r="104" spans="1:8" x14ac:dyDescent="0.35">
      <c r="A104" s="48">
        <v>40606</v>
      </c>
      <c r="B104" t="s">
        <v>264</v>
      </c>
      <c r="C104">
        <v>1</v>
      </c>
      <c r="D104" t="s">
        <v>22</v>
      </c>
      <c r="E104" t="s">
        <v>227</v>
      </c>
      <c r="F104" s="38" t="e">
        <f>_xlfn.XLOOKUP(Tabla4[[#This Row],[MATERIAL]],[3]Productos!$B:$B,[3]Productos!$A:$A)</f>
        <v>#N/A</v>
      </c>
      <c r="H104" t="str">
        <f>LEFT(Tabla4[[#This Row],[MATERIAL]],18)</f>
        <v>HUEVO ORO ROJO C I</v>
      </c>
    </row>
    <row r="105" spans="1:8" x14ac:dyDescent="0.35">
      <c r="F105"/>
    </row>
    <row r="106" spans="1:8" x14ac:dyDescent="0.35">
      <c r="F106"/>
    </row>
    <row r="107" spans="1:8" x14ac:dyDescent="0.35">
      <c r="F107"/>
    </row>
    <row r="108" spans="1:8" x14ac:dyDescent="0.35">
      <c r="F108"/>
    </row>
    <row r="109" spans="1:8" x14ac:dyDescent="0.35">
      <c r="A109" s="48"/>
      <c r="B109" s="48"/>
      <c r="F109"/>
    </row>
    <row r="110" spans="1:8" x14ac:dyDescent="0.35">
      <c r="A110" s="48"/>
    </row>
    <row r="111" spans="1:8" x14ac:dyDescent="0.35">
      <c r="A111" s="48"/>
    </row>
    <row r="112" spans="1:8" x14ac:dyDescent="0.35">
      <c r="A112" s="48"/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R115"/>
  <sheetViews>
    <sheetView tabSelected="1" workbookViewId="0">
      <selection activeCell="E9" sqref="E9"/>
    </sheetView>
  </sheetViews>
  <sheetFormatPr baseColWidth="10" defaultColWidth="9.26953125" defaultRowHeight="14.5" x14ac:dyDescent="0.35"/>
  <cols>
    <col min="1" max="1" width="10" bestFit="1" customWidth="1"/>
    <col min="2" max="2" width="40" bestFit="1" customWidth="1"/>
    <col min="3" max="3" width="7.1796875" bestFit="1" customWidth="1"/>
    <col min="4" max="4" width="16.26953125" bestFit="1" customWidth="1"/>
    <col min="5" max="5" width="7.26953125" bestFit="1" customWidth="1"/>
    <col min="6" max="6" width="15.453125" bestFit="1" customWidth="1"/>
    <col min="7" max="7" width="10.81640625" bestFit="1" customWidth="1"/>
    <col min="8" max="9" width="11.26953125" bestFit="1" customWidth="1"/>
    <col min="10" max="10" width="16.81640625" bestFit="1" customWidth="1"/>
    <col min="11" max="11" width="10.81640625" bestFit="1" customWidth="1"/>
    <col min="17" max="17" width="17.81640625" bestFit="1" customWidth="1"/>
  </cols>
  <sheetData>
    <row r="1" spans="1:17" x14ac:dyDescent="0.35">
      <c r="A1" t="s">
        <v>216</v>
      </c>
      <c r="B1" t="s">
        <v>217</v>
      </c>
      <c r="C1" t="s">
        <v>218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s="13" t="s">
        <v>271</v>
      </c>
    </row>
    <row r="2" spans="1:17" x14ac:dyDescent="0.35">
      <c r="A2">
        <v>30020</v>
      </c>
      <c r="B2" t="s">
        <v>272</v>
      </c>
      <c r="C2">
        <v>30</v>
      </c>
      <c r="D2" t="s">
        <v>273</v>
      </c>
      <c r="E2" t="s">
        <v>138</v>
      </c>
      <c r="F2" t="s">
        <v>274</v>
      </c>
      <c r="G2" t="s">
        <v>138</v>
      </c>
      <c r="H2" t="s">
        <v>273</v>
      </c>
      <c r="I2" t="s">
        <v>273</v>
      </c>
      <c r="J2" s="13" t="s">
        <v>274</v>
      </c>
    </row>
    <row r="3" spans="1:17" x14ac:dyDescent="0.35">
      <c r="A3">
        <v>30021</v>
      </c>
      <c r="B3" t="s">
        <v>275</v>
      </c>
      <c r="C3">
        <v>30</v>
      </c>
      <c r="D3" t="s">
        <v>273</v>
      </c>
      <c r="E3" t="s">
        <v>138</v>
      </c>
      <c r="F3" t="s">
        <v>274</v>
      </c>
      <c r="G3" t="s">
        <v>138</v>
      </c>
      <c r="H3" t="s">
        <v>273</v>
      </c>
      <c r="I3" t="s">
        <v>273</v>
      </c>
      <c r="J3" s="13" t="s">
        <v>274</v>
      </c>
    </row>
    <row r="4" spans="1:17" x14ac:dyDescent="0.35">
      <c r="A4">
        <v>30022</v>
      </c>
      <c r="B4" t="s">
        <v>276</v>
      </c>
      <c r="C4">
        <v>30</v>
      </c>
      <c r="D4" t="s">
        <v>273</v>
      </c>
      <c r="E4" t="s">
        <v>201</v>
      </c>
      <c r="F4" t="s">
        <v>274</v>
      </c>
      <c r="G4" t="s">
        <v>201</v>
      </c>
      <c r="H4" t="s">
        <v>273</v>
      </c>
      <c r="I4" t="s">
        <v>273</v>
      </c>
      <c r="J4" s="13" t="s">
        <v>274</v>
      </c>
    </row>
    <row r="5" spans="1:17" x14ac:dyDescent="0.35">
      <c r="A5">
        <v>30025</v>
      </c>
      <c r="B5" t="s">
        <v>277</v>
      </c>
      <c r="C5">
        <v>30</v>
      </c>
      <c r="D5" t="s">
        <v>273</v>
      </c>
      <c r="E5" t="s">
        <v>203</v>
      </c>
      <c r="F5" t="s">
        <v>278</v>
      </c>
      <c r="G5" t="s">
        <v>203</v>
      </c>
      <c r="H5" t="s">
        <v>273</v>
      </c>
      <c r="I5" t="s">
        <v>273</v>
      </c>
      <c r="J5" s="13" t="s">
        <v>279</v>
      </c>
    </row>
    <row r="6" spans="1:17" x14ac:dyDescent="0.35">
      <c r="A6" s="3">
        <v>30030</v>
      </c>
      <c r="B6" s="3" t="s">
        <v>280</v>
      </c>
      <c r="C6">
        <v>30</v>
      </c>
      <c r="D6" t="s">
        <v>273</v>
      </c>
      <c r="E6" t="s">
        <v>138</v>
      </c>
      <c r="F6" t="s">
        <v>278</v>
      </c>
      <c r="G6" t="s">
        <v>138</v>
      </c>
      <c r="H6" t="s">
        <v>273</v>
      </c>
      <c r="I6" t="s">
        <v>273</v>
      </c>
      <c r="J6" s="13" t="s">
        <v>279</v>
      </c>
    </row>
    <row r="7" spans="1:17" x14ac:dyDescent="0.35">
      <c r="A7">
        <v>30038</v>
      </c>
      <c r="B7" t="s">
        <v>281</v>
      </c>
      <c r="C7">
        <v>15</v>
      </c>
      <c r="D7" t="s">
        <v>273</v>
      </c>
      <c r="E7" t="s">
        <v>138</v>
      </c>
      <c r="F7" t="s">
        <v>278</v>
      </c>
      <c r="G7" t="s">
        <v>138</v>
      </c>
      <c r="H7" t="s">
        <v>273</v>
      </c>
      <c r="I7" t="s">
        <v>273</v>
      </c>
      <c r="J7" s="13" t="s">
        <v>279</v>
      </c>
    </row>
    <row r="8" spans="1:17" x14ac:dyDescent="0.35">
      <c r="A8" s="3">
        <v>30040</v>
      </c>
      <c r="B8" s="3" t="s">
        <v>282</v>
      </c>
      <c r="C8">
        <v>30</v>
      </c>
      <c r="D8" t="s">
        <v>273</v>
      </c>
      <c r="E8" t="s">
        <v>138</v>
      </c>
      <c r="F8" t="s">
        <v>278</v>
      </c>
      <c r="G8" t="s">
        <v>138</v>
      </c>
      <c r="H8" t="s">
        <v>273</v>
      </c>
      <c r="I8" t="s">
        <v>273</v>
      </c>
      <c r="J8" s="13" t="s">
        <v>279</v>
      </c>
    </row>
    <row r="9" spans="1:17" x14ac:dyDescent="0.35">
      <c r="A9">
        <v>30044</v>
      </c>
      <c r="B9" t="s">
        <v>283</v>
      </c>
      <c r="C9">
        <v>15</v>
      </c>
      <c r="D9" t="s">
        <v>273</v>
      </c>
      <c r="E9" t="s">
        <v>189</v>
      </c>
      <c r="F9" t="s">
        <v>278</v>
      </c>
      <c r="G9" t="s">
        <v>189</v>
      </c>
      <c r="H9" t="s">
        <v>273</v>
      </c>
      <c r="I9" t="s">
        <v>273</v>
      </c>
      <c r="J9" s="13" t="s">
        <v>279</v>
      </c>
    </row>
    <row r="10" spans="1:17" x14ac:dyDescent="0.35">
      <c r="A10" s="3">
        <v>30046</v>
      </c>
      <c r="B10" s="3" t="s">
        <v>284</v>
      </c>
      <c r="C10">
        <v>30</v>
      </c>
      <c r="D10" t="s">
        <v>273</v>
      </c>
      <c r="E10" t="s">
        <v>189</v>
      </c>
      <c r="F10" t="s">
        <v>278</v>
      </c>
      <c r="G10" t="s">
        <v>189</v>
      </c>
      <c r="H10" t="s">
        <v>273</v>
      </c>
      <c r="I10" t="s">
        <v>273</v>
      </c>
      <c r="J10" s="14" t="s">
        <v>279</v>
      </c>
    </row>
    <row r="11" spans="1:17" x14ac:dyDescent="0.35">
      <c r="A11">
        <v>30050</v>
      </c>
      <c r="B11" t="s">
        <v>285</v>
      </c>
      <c r="C11">
        <v>15</v>
      </c>
      <c r="D11" t="s">
        <v>273</v>
      </c>
      <c r="E11" t="s">
        <v>143</v>
      </c>
      <c r="F11" t="s">
        <v>278</v>
      </c>
      <c r="G11" t="s">
        <v>143</v>
      </c>
      <c r="H11" t="s">
        <v>273</v>
      </c>
      <c r="I11" t="s">
        <v>273</v>
      </c>
      <c r="J11" s="13" t="s">
        <v>279</v>
      </c>
    </row>
    <row r="12" spans="1:17" x14ac:dyDescent="0.35">
      <c r="A12">
        <v>30052</v>
      </c>
      <c r="B12" t="s">
        <v>286</v>
      </c>
      <c r="C12">
        <v>30</v>
      </c>
      <c r="D12" t="s">
        <v>273</v>
      </c>
      <c r="E12" t="s">
        <v>143</v>
      </c>
      <c r="F12" t="s">
        <v>278</v>
      </c>
      <c r="G12" t="s">
        <v>143</v>
      </c>
      <c r="H12" t="s">
        <v>273</v>
      </c>
      <c r="I12" t="s">
        <v>273</v>
      </c>
      <c r="J12" s="13" t="s">
        <v>279</v>
      </c>
    </row>
    <row r="13" spans="1:17" x14ac:dyDescent="0.35">
      <c r="A13">
        <v>30055</v>
      </c>
      <c r="B13" t="s">
        <v>287</v>
      </c>
      <c r="C13">
        <v>15</v>
      </c>
      <c r="D13" t="s">
        <v>273</v>
      </c>
      <c r="E13" t="s">
        <v>201</v>
      </c>
      <c r="F13" t="s">
        <v>278</v>
      </c>
      <c r="G13" t="s">
        <v>201</v>
      </c>
      <c r="H13" s="4" t="s">
        <v>273</v>
      </c>
      <c r="I13" s="4" t="s">
        <v>273</v>
      </c>
      <c r="J13" s="13" t="s">
        <v>279</v>
      </c>
    </row>
    <row r="14" spans="1:17" x14ac:dyDescent="0.35">
      <c r="A14" s="5">
        <v>30056</v>
      </c>
      <c r="B14" s="3" t="s">
        <v>288</v>
      </c>
      <c r="C14">
        <v>30</v>
      </c>
      <c r="D14" t="s">
        <v>273</v>
      </c>
      <c r="E14" t="s">
        <v>201</v>
      </c>
      <c r="F14" t="s">
        <v>278</v>
      </c>
      <c r="G14" t="s">
        <v>201</v>
      </c>
      <c r="H14" s="4" t="s">
        <v>273</v>
      </c>
      <c r="I14" s="4" t="s">
        <v>273</v>
      </c>
      <c r="J14" s="14" t="s">
        <v>279</v>
      </c>
    </row>
    <row r="15" spans="1:17" x14ac:dyDescent="0.35">
      <c r="A15">
        <v>40092</v>
      </c>
      <c r="B15" t="s">
        <v>289</v>
      </c>
      <c r="C15">
        <v>30</v>
      </c>
      <c r="D15" t="s">
        <v>273</v>
      </c>
      <c r="E15" t="s">
        <v>138</v>
      </c>
      <c r="F15" t="s">
        <v>274</v>
      </c>
      <c r="G15" t="s">
        <v>138</v>
      </c>
      <c r="H15" t="s">
        <v>273</v>
      </c>
      <c r="I15" t="s">
        <v>273</v>
      </c>
      <c r="J15" s="13" t="s">
        <v>274</v>
      </c>
      <c r="Q15" s="8">
        <f>3.3*4200</f>
        <v>13860</v>
      </c>
    </row>
    <row r="16" spans="1:17" x14ac:dyDescent="0.35">
      <c r="A16">
        <v>40112</v>
      </c>
      <c r="B16" t="s">
        <v>290</v>
      </c>
      <c r="C16">
        <v>45</v>
      </c>
      <c r="D16" t="s">
        <v>273</v>
      </c>
      <c r="E16" t="s">
        <v>189</v>
      </c>
      <c r="F16" t="s">
        <v>278</v>
      </c>
      <c r="G16" t="s">
        <v>189</v>
      </c>
      <c r="H16" t="s">
        <v>273</v>
      </c>
      <c r="I16" t="s">
        <v>273</v>
      </c>
      <c r="J16" s="15" t="s">
        <v>279</v>
      </c>
      <c r="Q16">
        <v>9531</v>
      </c>
    </row>
    <row r="17" spans="1:18" x14ac:dyDescent="0.35">
      <c r="A17">
        <v>40190</v>
      </c>
      <c r="B17" t="s">
        <v>291</v>
      </c>
      <c r="C17">
        <v>45</v>
      </c>
      <c r="D17" t="s">
        <v>273</v>
      </c>
      <c r="E17" t="s">
        <v>138</v>
      </c>
      <c r="F17" t="s">
        <v>278</v>
      </c>
      <c r="G17" t="s">
        <v>138</v>
      </c>
      <c r="H17" t="s">
        <v>273</v>
      </c>
      <c r="I17" t="s">
        <v>273</v>
      </c>
      <c r="J17" s="15" t="s">
        <v>279</v>
      </c>
      <c r="Q17">
        <v>7524</v>
      </c>
    </row>
    <row r="18" spans="1:18" x14ac:dyDescent="0.35">
      <c r="A18">
        <v>40241</v>
      </c>
      <c r="B18" t="s">
        <v>160</v>
      </c>
      <c r="C18">
        <v>15</v>
      </c>
      <c r="D18" t="s">
        <v>273</v>
      </c>
      <c r="E18" t="s">
        <v>138</v>
      </c>
      <c r="F18" t="s">
        <v>274</v>
      </c>
      <c r="G18" t="s">
        <v>138</v>
      </c>
      <c r="H18" t="s">
        <v>273</v>
      </c>
      <c r="I18" t="s">
        <v>273</v>
      </c>
      <c r="J18" t="s">
        <v>274</v>
      </c>
      <c r="Q18" s="9">
        <f>SUM(Q15:Q17)</f>
        <v>30915</v>
      </c>
      <c r="R18" s="44">
        <f>Q18/Q21</f>
        <v>0.86686481787847347</v>
      </c>
    </row>
    <row r="19" spans="1:18" x14ac:dyDescent="0.35">
      <c r="A19">
        <v>40242</v>
      </c>
      <c r="B19" t="s">
        <v>163</v>
      </c>
      <c r="C19">
        <v>30</v>
      </c>
      <c r="D19" t="s">
        <v>273</v>
      </c>
      <c r="E19" t="s">
        <v>138</v>
      </c>
      <c r="F19" t="s">
        <v>274</v>
      </c>
      <c r="G19" t="s">
        <v>138</v>
      </c>
      <c r="H19" t="s">
        <v>273</v>
      </c>
      <c r="I19" t="s">
        <v>273</v>
      </c>
      <c r="J19" t="s">
        <v>274</v>
      </c>
    </row>
    <row r="20" spans="1:18" x14ac:dyDescent="0.35">
      <c r="A20">
        <v>40327</v>
      </c>
      <c r="B20" t="s">
        <v>292</v>
      </c>
      <c r="C20">
        <v>60</v>
      </c>
      <c r="D20" t="s">
        <v>273</v>
      </c>
      <c r="E20" t="s">
        <v>189</v>
      </c>
      <c r="F20" t="s">
        <v>278</v>
      </c>
      <c r="G20" t="s">
        <v>189</v>
      </c>
      <c r="H20" t="s">
        <v>273</v>
      </c>
      <c r="I20" t="s">
        <v>273</v>
      </c>
      <c r="J20" t="s">
        <v>279</v>
      </c>
      <c r="Q20">
        <v>4748</v>
      </c>
      <c r="R20" s="44">
        <f>Q20/Q21</f>
        <v>0.1331351821215265</v>
      </c>
    </row>
    <row r="21" spans="1:18" x14ac:dyDescent="0.35">
      <c r="A21">
        <v>40404</v>
      </c>
      <c r="B21" t="s">
        <v>293</v>
      </c>
      <c r="C21">
        <v>30</v>
      </c>
      <c r="D21" t="s">
        <v>273</v>
      </c>
      <c r="E21" t="s">
        <v>138</v>
      </c>
      <c r="F21" t="s">
        <v>274</v>
      </c>
      <c r="G21" t="s">
        <v>138</v>
      </c>
      <c r="H21" t="s">
        <v>273</v>
      </c>
      <c r="I21" t="s">
        <v>273</v>
      </c>
      <c r="J21" t="s">
        <v>274</v>
      </c>
      <c r="Q21" s="9">
        <f>Q18+Q20</f>
        <v>35663</v>
      </c>
    </row>
    <row r="22" spans="1:18" x14ac:dyDescent="0.35">
      <c r="A22">
        <v>40434</v>
      </c>
      <c r="B22" t="s">
        <v>294</v>
      </c>
      <c r="C22">
        <v>60</v>
      </c>
      <c r="D22" t="s">
        <v>273</v>
      </c>
      <c r="E22" t="s">
        <v>201</v>
      </c>
      <c r="F22" t="s">
        <v>278</v>
      </c>
      <c r="G22" t="s">
        <v>201</v>
      </c>
      <c r="H22" t="s">
        <v>273</v>
      </c>
      <c r="I22" t="s">
        <v>273</v>
      </c>
      <c r="J22" t="s">
        <v>279</v>
      </c>
    </row>
    <row r="23" spans="1:18" x14ac:dyDescent="0.35">
      <c r="A23" s="3">
        <v>40457</v>
      </c>
      <c r="B23" s="3" t="s">
        <v>295</v>
      </c>
      <c r="C23">
        <v>30</v>
      </c>
      <c r="D23" t="s">
        <v>273</v>
      </c>
      <c r="E23" t="s">
        <v>138</v>
      </c>
      <c r="F23" t="s">
        <v>274</v>
      </c>
      <c r="G23" t="s">
        <v>138</v>
      </c>
      <c r="H23" t="s">
        <v>273</v>
      </c>
      <c r="I23" t="s">
        <v>273</v>
      </c>
      <c r="J23" t="s">
        <v>274</v>
      </c>
    </row>
    <row r="24" spans="1:18" x14ac:dyDescent="0.35">
      <c r="A24" s="3">
        <v>40463</v>
      </c>
      <c r="B24" s="3" t="s">
        <v>296</v>
      </c>
      <c r="C24">
        <v>60</v>
      </c>
      <c r="D24" t="s">
        <v>273</v>
      </c>
      <c r="E24" t="s">
        <v>138</v>
      </c>
      <c r="F24" t="s">
        <v>278</v>
      </c>
      <c r="G24" t="s">
        <v>138</v>
      </c>
      <c r="H24" t="s">
        <v>273</v>
      </c>
      <c r="I24" t="s">
        <v>273</v>
      </c>
      <c r="J24" t="s">
        <v>279</v>
      </c>
    </row>
    <row r="25" spans="1:18" x14ac:dyDescent="0.35">
      <c r="A25">
        <v>40484</v>
      </c>
      <c r="B25" t="s">
        <v>297</v>
      </c>
      <c r="C25">
        <v>45</v>
      </c>
      <c r="D25" t="s">
        <v>273</v>
      </c>
      <c r="E25" t="s">
        <v>143</v>
      </c>
      <c r="F25" t="s">
        <v>278</v>
      </c>
      <c r="G25" t="s">
        <v>143</v>
      </c>
      <c r="H25" t="s">
        <v>273</v>
      </c>
      <c r="I25" t="s">
        <v>273</v>
      </c>
      <c r="J25" t="s">
        <v>279</v>
      </c>
    </row>
    <row r="26" spans="1:18" x14ac:dyDescent="0.35">
      <c r="A26">
        <v>40572</v>
      </c>
      <c r="B26" t="s">
        <v>298</v>
      </c>
      <c r="C26">
        <v>10</v>
      </c>
      <c r="D26" t="s">
        <v>273</v>
      </c>
      <c r="E26" t="s">
        <v>138</v>
      </c>
      <c r="F26" t="s">
        <v>278</v>
      </c>
      <c r="G26" t="s">
        <v>138</v>
      </c>
      <c r="H26" t="s">
        <v>273</v>
      </c>
      <c r="I26" t="s">
        <v>273</v>
      </c>
      <c r="J26" t="s">
        <v>279</v>
      </c>
    </row>
    <row r="27" spans="1:18" x14ac:dyDescent="0.35">
      <c r="A27">
        <v>40589</v>
      </c>
      <c r="B27" t="s">
        <v>299</v>
      </c>
      <c r="C27">
        <v>12</v>
      </c>
      <c r="D27" t="s">
        <v>273</v>
      </c>
      <c r="E27" t="s">
        <v>138</v>
      </c>
      <c r="F27" t="s">
        <v>278</v>
      </c>
      <c r="G27" t="s">
        <v>138</v>
      </c>
      <c r="H27" t="s">
        <v>273</v>
      </c>
      <c r="I27" t="s">
        <v>273</v>
      </c>
      <c r="J27" t="s">
        <v>279</v>
      </c>
    </row>
    <row r="28" spans="1:18" x14ac:dyDescent="0.35">
      <c r="A28" s="3">
        <v>40637</v>
      </c>
      <c r="B28" s="3" t="s">
        <v>300</v>
      </c>
      <c r="C28">
        <v>180</v>
      </c>
      <c r="D28" t="s">
        <v>273</v>
      </c>
      <c r="E28" t="s">
        <v>189</v>
      </c>
      <c r="F28" t="s">
        <v>278</v>
      </c>
      <c r="G28" t="s">
        <v>189</v>
      </c>
      <c r="H28" t="s">
        <v>273</v>
      </c>
      <c r="I28" t="s">
        <v>273</v>
      </c>
      <c r="J28" t="s">
        <v>279</v>
      </c>
    </row>
    <row r="29" spans="1:18" x14ac:dyDescent="0.35">
      <c r="A29">
        <v>30019</v>
      </c>
      <c r="B29" t="s">
        <v>11</v>
      </c>
      <c r="C29">
        <v>12</v>
      </c>
      <c r="D29" t="s">
        <v>301</v>
      </c>
      <c r="E29" t="s">
        <v>189</v>
      </c>
      <c r="F29" t="s">
        <v>278</v>
      </c>
      <c r="G29" t="s">
        <v>302</v>
      </c>
      <c r="H29" t="s">
        <v>301</v>
      </c>
      <c r="I29" t="s">
        <v>303</v>
      </c>
      <c r="J29" t="s">
        <v>302</v>
      </c>
    </row>
    <row r="30" spans="1:18" x14ac:dyDescent="0.35">
      <c r="A30">
        <v>30023</v>
      </c>
      <c r="B30" t="s">
        <v>17</v>
      </c>
      <c r="C30">
        <v>12</v>
      </c>
      <c r="D30" t="s">
        <v>301</v>
      </c>
      <c r="E30" t="s">
        <v>138</v>
      </c>
      <c r="F30" t="s">
        <v>278</v>
      </c>
      <c r="G30" t="s">
        <v>304</v>
      </c>
      <c r="H30" t="s">
        <v>301</v>
      </c>
      <c r="I30" t="s">
        <v>303</v>
      </c>
      <c r="J30" t="s">
        <v>304</v>
      </c>
    </row>
    <row r="31" spans="1:18" x14ac:dyDescent="0.35">
      <c r="A31">
        <v>30032</v>
      </c>
      <c r="B31" t="s">
        <v>305</v>
      </c>
      <c r="C31">
        <v>12</v>
      </c>
      <c r="D31" t="s">
        <v>301</v>
      </c>
      <c r="E31" t="s">
        <v>306</v>
      </c>
      <c r="F31" t="s">
        <v>278</v>
      </c>
      <c r="G31" t="s">
        <v>307</v>
      </c>
      <c r="H31" t="s">
        <v>301</v>
      </c>
      <c r="I31" t="s">
        <v>303</v>
      </c>
      <c r="J31" t="s">
        <v>307</v>
      </c>
    </row>
    <row r="32" spans="1:18" x14ac:dyDescent="0.35">
      <c r="A32" s="3">
        <v>30034</v>
      </c>
      <c r="B32" s="3" t="s">
        <v>308</v>
      </c>
      <c r="C32">
        <v>12</v>
      </c>
      <c r="D32" t="s">
        <v>301</v>
      </c>
      <c r="E32" t="s">
        <v>138</v>
      </c>
      <c r="F32" t="s">
        <v>274</v>
      </c>
      <c r="G32" t="s">
        <v>138</v>
      </c>
      <c r="H32" t="s">
        <v>301</v>
      </c>
      <c r="I32" t="s">
        <v>303</v>
      </c>
      <c r="J32" t="s">
        <v>274</v>
      </c>
    </row>
    <row r="33" spans="1:10" x14ac:dyDescent="0.35">
      <c r="A33" s="3">
        <v>30035</v>
      </c>
      <c r="B33" s="3" t="s">
        <v>309</v>
      </c>
      <c r="C33">
        <v>6</v>
      </c>
      <c r="D33" t="s">
        <v>301</v>
      </c>
      <c r="E33" t="s">
        <v>138</v>
      </c>
      <c r="F33" t="s">
        <v>274</v>
      </c>
      <c r="G33" t="s">
        <v>138</v>
      </c>
      <c r="H33" t="s">
        <v>301</v>
      </c>
      <c r="I33" t="s">
        <v>303</v>
      </c>
      <c r="J33" t="s">
        <v>274</v>
      </c>
    </row>
    <row r="34" spans="1:10" x14ac:dyDescent="0.35">
      <c r="A34">
        <v>30037</v>
      </c>
      <c r="B34" t="s">
        <v>310</v>
      </c>
      <c r="C34">
        <v>12</v>
      </c>
      <c r="D34" t="s">
        <v>301</v>
      </c>
      <c r="E34" t="s">
        <v>138</v>
      </c>
      <c r="F34" t="s">
        <v>278</v>
      </c>
      <c r="G34" t="s">
        <v>138</v>
      </c>
      <c r="H34" t="s">
        <v>301</v>
      </c>
      <c r="I34" t="s">
        <v>303</v>
      </c>
      <c r="J34" s="13" t="s">
        <v>279</v>
      </c>
    </row>
    <row r="35" spans="1:10" x14ac:dyDescent="0.35">
      <c r="A35" s="3">
        <v>30041</v>
      </c>
      <c r="B35" s="3" t="s">
        <v>311</v>
      </c>
      <c r="C35">
        <v>6</v>
      </c>
      <c r="D35" t="s">
        <v>301</v>
      </c>
      <c r="E35" t="s">
        <v>138</v>
      </c>
      <c r="F35" t="s">
        <v>278</v>
      </c>
      <c r="G35" t="s">
        <v>138</v>
      </c>
      <c r="H35" t="s">
        <v>301</v>
      </c>
      <c r="I35" t="s">
        <v>303</v>
      </c>
      <c r="J35" s="13" t="s">
        <v>279</v>
      </c>
    </row>
    <row r="36" spans="1:10" x14ac:dyDescent="0.35">
      <c r="A36" s="47">
        <v>30043</v>
      </c>
      <c r="B36" s="47" t="s">
        <v>312</v>
      </c>
      <c r="C36">
        <v>12</v>
      </c>
      <c r="D36" t="s">
        <v>301</v>
      </c>
      <c r="E36" t="s">
        <v>189</v>
      </c>
      <c r="F36" t="s">
        <v>278</v>
      </c>
      <c r="G36" t="s">
        <v>189</v>
      </c>
      <c r="H36" t="s">
        <v>301</v>
      </c>
      <c r="I36" t="s">
        <v>303</v>
      </c>
      <c r="J36" s="13" t="s">
        <v>279</v>
      </c>
    </row>
    <row r="37" spans="1:10" x14ac:dyDescent="0.35">
      <c r="A37">
        <v>30048</v>
      </c>
      <c r="B37" t="s">
        <v>313</v>
      </c>
      <c r="C37">
        <v>6</v>
      </c>
      <c r="D37" t="s">
        <v>301</v>
      </c>
      <c r="E37" t="s">
        <v>189</v>
      </c>
      <c r="F37" t="s">
        <v>278</v>
      </c>
      <c r="G37" t="s">
        <v>189</v>
      </c>
      <c r="H37" t="s">
        <v>301</v>
      </c>
      <c r="I37" t="s">
        <v>303</v>
      </c>
      <c r="J37" s="13" t="s">
        <v>279</v>
      </c>
    </row>
    <row r="38" spans="1:10" x14ac:dyDescent="0.35">
      <c r="A38">
        <v>30049</v>
      </c>
      <c r="B38" t="s">
        <v>314</v>
      </c>
      <c r="C38">
        <v>12</v>
      </c>
      <c r="D38" t="s">
        <v>301</v>
      </c>
      <c r="E38" t="s">
        <v>143</v>
      </c>
      <c r="F38" t="s">
        <v>278</v>
      </c>
      <c r="G38" t="s">
        <v>143</v>
      </c>
      <c r="H38" t="s">
        <v>301</v>
      </c>
      <c r="I38" t="s">
        <v>303</v>
      </c>
      <c r="J38" s="13" t="s">
        <v>279</v>
      </c>
    </row>
    <row r="39" spans="1:10" x14ac:dyDescent="0.35">
      <c r="A39">
        <v>40134</v>
      </c>
      <c r="B39" t="s">
        <v>315</v>
      </c>
      <c r="C39">
        <v>12</v>
      </c>
      <c r="D39" t="s">
        <v>301</v>
      </c>
      <c r="E39" t="s">
        <v>306</v>
      </c>
      <c r="F39" t="s">
        <v>278</v>
      </c>
      <c r="G39" t="s">
        <v>316</v>
      </c>
      <c r="H39" t="s">
        <v>301</v>
      </c>
      <c r="I39" t="s">
        <v>303</v>
      </c>
      <c r="J39" t="s">
        <v>316</v>
      </c>
    </row>
    <row r="40" spans="1:10" x14ac:dyDescent="0.35">
      <c r="A40" s="3">
        <v>40135</v>
      </c>
      <c r="B40" s="3" t="s">
        <v>317</v>
      </c>
      <c r="C40">
        <v>12</v>
      </c>
      <c r="D40" t="s">
        <v>301</v>
      </c>
      <c r="E40" t="s">
        <v>306</v>
      </c>
      <c r="F40" t="s">
        <v>278</v>
      </c>
      <c r="G40" t="s">
        <v>318</v>
      </c>
      <c r="H40" t="s">
        <v>301</v>
      </c>
      <c r="I40" t="s">
        <v>303</v>
      </c>
      <c r="J40" t="s">
        <v>318</v>
      </c>
    </row>
    <row r="41" spans="1:10" x14ac:dyDescent="0.35">
      <c r="A41">
        <v>40136</v>
      </c>
      <c r="B41" t="s">
        <v>319</v>
      </c>
      <c r="C41">
        <v>12</v>
      </c>
      <c r="D41" t="s">
        <v>301</v>
      </c>
      <c r="E41" t="s">
        <v>306</v>
      </c>
      <c r="F41" t="s">
        <v>278</v>
      </c>
      <c r="G41" t="s">
        <v>320</v>
      </c>
      <c r="H41" t="s">
        <v>301</v>
      </c>
      <c r="I41" t="s">
        <v>303</v>
      </c>
      <c r="J41" t="s">
        <v>320</v>
      </c>
    </row>
    <row r="42" spans="1:10" x14ac:dyDescent="0.35">
      <c r="A42">
        <v>40137</v>
      </c>
      <c r="B42" t="s">
        <v>321</v>
      </c>
      <c r="C42">
        <v>12</v>
      </c>
      <c r="D42" t="s">
        <v>301</v>
      </c>
      <c r="E42" t="s">
        <v>306</v>
      </c>
      <c r="F42" t="s">
        <v>278</v>
      </c>
      <c r="G42" t="s">
        <v>322</v>
      </c>
      <c r="H42" t="s">
        <v>301</v>
      </c>
      <c r="I42" t="s">
        <v>303</v>
      </c>
      <c r="J42" t="s">
        <v>322</v>
      </c>
    </row>
    <row r="43" spans="1:10" x14ac:dyDescent="0.35">
      <c r="A43">
        <v>40235</v>
      </c>
      <c r="B43" s="3" t="s">
        <v>158</v>
      </c>
      <c r="C43">
        <v>12</v>
      </c>
      <c r="D43" t="s">
        <v>301</v>
      </c>
      <c r="E43" t="s">
        <v>138</v>
      </c>
      <c r="F43" t="s">
        <v>274</v>
      </c>
      <c r="G43" t="s">
        <v>138</v>
      </c>
      <c r="H43" t="s">
        <v>301</v>
      </c>
      <c r="I43" t="s">
        <v>303</v>
      </c>
      <c r="J43" t="s">
        <v>274</v>
      </c>
    </row>
    <row r="44" spans="1:10" x14ac:dyDescent="0.35">
      <c r="A44">
        <v>40237</v>
      </c>
      <c r="B44" t="s">
        <v>168</v>
      </c>
      <c r="C44">
        <v>12</v>
      </c>
      <c r="D44" t="s">
        <v>301</v>
      </c>
      <c r="E44" t="s">
        <v>189</v>
      </c>
      <c r="F44" t="s">
        <v>274</v>
      </c>
      <c r="G44" t="s">
        <v>189</v>
      </c>
      <c r="H44" t="s">
        <v>301</v>
      </c>
      <c r="I44" t="s">
        <v>303</v>
      </c>
      <c r="J44" t="s">
        <v>274</v>
      </c>
    </row>
    <row r="45" spans="1:10" x14ac:dyDescent="0.35">
      <c r="A45">
        <v>40254</v>
      </c>
      <c r="B45" t="s">
        <v>323</v>
      </c>
      <c r="C45">
        <v>12</v>
      </c>
      <c r="D45" t="s">
        <v>301</v>
      </c>
      <c r="E45" t="s">
        <v>306</v>
      </c>
      <c r="F45" t="s">
        <v>278</v>
      </c>
      <c r="G45" t="s">
        <v>324</v>
      </c>
      <c r="H45" t="s">
        <v>301</v>
      </c>
      <c r="I45" t="s">
        <v>303</v>
      </c>
      <c r="J45" t="s">
        <v>324</v>
      </c>
    </row>
    <row r="46" spans="1:10" x14ac:dyDescent="0.35">
      <c r="A46">
        <v>40271</v>
      </c>
      <c r="B46" s="3" t="s">
        <v>325</v>
      </c>
      <c r="C46">
        <v>12</v>
      </c>
      <c r="D46" t="s">
        <v>301</v>
      </c>
      <c r="E46" t="s">
        <v>138</v>
      </c>
      <c r="F46" t="s">
        <v>274</v>
      </c>
      <c r="G46" t="s">
        <v>138</v>
      </c>
      <c r="H46" t="s">
        <v>301</v>
      </c>
      <c r="I46" t="s">
        <v>303</v>
      </c>
      <c r="J46" t="s">
        <v>274</v>
      </c>
    </row>
    <row r="47" spans="1:10" x14ac:dyDescent="0.35">
      <c r="A47">
        <v>40475</v>
      </c>
      <c r="B47" t="s">
        <v>326</v>
      </c>
      <c r="C47">
        <v>12</v>
      </c>
      <c r="D47" t="s">
        <v>301</v>
      </c>
      <c r="E47" t="s">
        <v>143</v>
      </c>
      <c r="F47" t="s">
        <v>278</v>
      </c>
      <c r="G47" t="s">
        <v>327</v>
      </c>
      <c r="H47" t="s">
        <v>301</v>
      </c>
      <c r="I47" t="s">
        <v>303</v>
      </c>
      <c r="J47" t="s">
        <v>327</v>
      </c>
    </row>
    <row r="48" spans="1:10" x14ac:dyDescent="0.35">
      <c r="A48">
        <v>40515</v>
      </c>
      <c r="B48" t="s">
        <v>251</v>
      </c>
      <c r="C48">
        <v>15</v>
      </c>
      <c r="D48" t="s">
        <v>301</v>
      </c>
      <c r="E48" t="s">
        <v>189</v>
      </c>
      <c r="F48" t="s">
        <v>274</v>
      </c>
      <c r="G48" t="s">
        <v>189</v>
      </c>
      <c r="H48" t="s">
        <v>301</v>
      </c>
      <c r="I48" t="s">
        <v>303</v>
      </c>
      <c r="J48" t="s">
        <v>274</v>
      </c>
    </row>
    <row r="49" spans="1:10" x14ac:dyDescent="0.35">
      <c r="A49">
        <v>40536</v>
      </c>
      <c r="B49" t="s">
        <v>254</v>
      </c>
      <c r="C49">
        <v>6</v>
      </c>
      <c r="D49" t="s">
        <v>301</v>
      </c>
      <c r="E49" t="s">
        <v>189</v>
      </c>
      <c r="F49" t="s">
        <v>278</v>
      </c>
      <c r="G49" t="s">
        <v>302</v>
      </c>
      <c r="H49" t="s">
        <v>301</v>
      </c>
      <c r="I49" t="s">
        <v>303</v>
      </c>
      <c r="J49" t="s">
        <v>302</v>
      </c>
    </row>
    <row r="50" spans="1:10" x14ac:dyDescent="0.35">
      <c r="A50">
        <v>40538</v>
      </c>
      <c r="B50" t="s">
        <v>328</v>
      </c>
      <c r="C50">
        <v>15</v>
      </c>
      <c r="D50" t="s">
        <v>301</v>
      </c>
      <c r="E50" t="s">
        <v>189</v>
      </c>
      <c r="F50" t="s">
        <v>278</v>
      </c>
      <c r="G50" t="s">
        <v>327</v>
      </c>
      <c r="H50" t="s">
        <v>301</v>
      </c>
      <c r="I50" t="s">
        <v>303</v>
      </c>
      <c r="J50" t="s">
        <v>327</v>
      </c>
    </row>
    <row r="51" spans="1:10" x14ac:dyDescent="0.35">
      <c r="A51" s="3">
        <v>40638</v>
      </c>
      <c r="B51" s="3" t="s">
        <v>329</v>
      </c>
      <c r="C51">
        <v>20</v>
      </c>
      <c r="D51" t="s">
        <v>301</v>
      </c>
      <c r="E51" t="s">
        <v>189</v>
      </c>
      <c r="F51" t="s">
        <v>274</v>
      </c>
      <c r="G51" t="s">
        <v>189</v>
      </c>
      <c r="H51" t="s">
        <v>301</v>
      </c>
      <c r="I51" t="s">
        <v>303</v>
      </c>
      <c r="J51" t="s">
        <v>274</v>
      </c>
    </row>
    <row r="52" spans="1:10" x14ac:dyDescent="0.35">
      <c r="A52" s="3">
        <v>40654</v>
      </c>
      <c r="B52" s="3" t="s">
        <v>330</v>
      </c>
      <c r="C52">
        <v>30</v>
      </c>
      <c r="D52" t="s">
        <v>301</v>
      </c>
      <c r="E52" t="s">
        <v>189</v>
      </c>
      <c r="F52" t="s">
        <v>274</v>
      </c>
      <c r="G52" t="s">
        <v>189</v>
      </c>
      <c r="H52" t="s">
        <v>301</v>
      </c>
      <c r="I52" t="s">
        <v>303</v>
      </c>
      <c r="J52" t="s">
        <v>274</v>
      </c>
    </row>
    <row r="53" spans="1:10" x14ac:dyDescent="0.35">
      <c r="A53">
        <v>30026</v>
      </c>
      <c r="B53" t="s">
        <v>331</v>
      </c>
      <c r="C53">
        <v>1</v>
      </c>
      <c r="D53" t="s">
        <v>332</v>
      </c>
      <c r="E53" t="s">
        <v>333</v>
      </c>
      <c r="F53" t="s">
        <v>278</v>
      </c>
      <c r="G53" t="s">
        <v>333</v>
      </c>
      <c r="H53" t="s">
        <v>332</v>
      </c>
      <c r="I53" t="s">
        <v>332</v>
      </c>
      <c r="J53" t="s">
        <v>279</v>
      </c>
    </row>
    <row r="54" spans="1:10" x14ac:dyDescent="0.35">
      <c r="A54">
        <v>30027</v>
      </c>
      <c r="B54" t="s">
        <v>334</v>
      </c>
      <c r="C54">
        <v>1</v>
      </c>
      <c r="D54" t="s">
        <v>332</v>
      </c>
      <c r="E54" t="s">
        <v>333</v>
      </c>
      <c r="F54" t="s">
        <v>278</v>
      </c>
      <c r="G54" t="s">
        <v>333</v>
      </c>
      <c r="H54" t="s">
        <v>332</v>
      </c>
      <c r="I54" t="s">
        <v>332</v>
      </c>
      <c r="J54" t="s">
        <v>279</v>
      </c>
    </row>
    <row r="55" spans="1:10" x14ac:dyDescent="0.35">
      <c r="A55" s="3">
        <v>30028</v>
      </c>
      <c r="B55" s="3" t="s">
        <v>335</v>
      </c>
      <c r="C55">
        <v>1</v>
      </c>
      <c r="D55" t="s">
        <v>332</v>
      </c>
      <c r="E55" t="s">
        <v>204</v>
      </c>
      <c r="F55" t="s">
        <v>278</v>
      </c>
      <c r="G55" t="s">
        <v>204</v>
      </c>
      <c r="H55" t="s">
        <v>332</v>
      </c>
      <c r="I55" t="s">
        <v>332</v>
      </c>
      <c r="J55" t="s">
        <v>279</v>
      </c>
    </row>
    <row r="56" spans="1:10" x14ac:dyDescent="0.35">
      <c r="A56" s="3">
        <v>30033</v>
      </c>
      <c r="B56" s="3" t="s">
        <v>335</v>
      </c>
      <c r="C56">
        <v>1</v>
      </c>
      <c r="D56" t="s">
        <v>332</v>
      </c>
      <c r="E56" t="s">
        <v>204</v>
      </c>
      <c r="F56" t="s">
        <v>278</v>
      </c>
      <c r="G56" t="s">
        <v>204</v>
      </c>
      <c r="H56" t="s">
        <v>332</v>
      </c>
      <c r="I56" t="s">
        <v>332</v>
      </c>
      <c r="J56" t="s">
        <v>279</v>
      </c>
    </row>
    <row r="57" spans="1:10" x14ac:dyDescent="0.35">
      <c r="A57" s="12">
        <v>30057</v>
      </c>
      <c r="B57" t="s">
        <v>336</v>
      </c>
      <c r="C57">
        <v>1</v>
      </c>
      <c r="D57" t="s">
        <v>332</v>
      </c>
      <c r="E57" t="s">
        <v>138</v>
      </c>
      <c r="F57" t="s">
        <v>278</v>
      </c>
      <c r="G57" t="s">
        <v>138</v>
      </c>
      <c r="H57" t="s">
        <v>332</v>
      </c>
      <c r="I57" t="s">
        <v>332</v>
      </c>
      <c r="J57" t="s">
        <v>279</v>
      </c>
    </row>
    <row r="58" spans="1:10" x14ac:dyDescent="0.35">
      <c r="A58" s="3">
        <v>30058</v>
      </c>
      <c r="B58" s="3" t="s">
        <v>337</v>
      </c>
      <c r="C58">
        <v>1</v>
      </c>
      <c r="D58" t="s">
        <v>332</v>
      </c>
      <c r="E58" t="s">
        <v>189</v>
      </c>
      <c r="F58" t="s">
        <v>278</v>
      </c>
      <c r="G58" t="s">
        <v>189</v>
      </c>
      <c r="H58" t="s">
        <v>332</v>
      </c>
      <c r="I58" t="s">
        <v>332</v>
      </c>
      <c r="J58" t="s">
        <v>279</v>
      </c>
    </row>
    <row r="59" spans="1:10" x14ac:dyDescent="0.35">
      <c r="A59" s="3">
        <v>30059</v>
      </c>
      <c r="B59" s="3" t="s">
        <v>338</v>
      </c>
      <c r="C59">
        <v>1</v>
      </c>
      <c r="D59" t="s">
        <v>332</v>
      </c>
      <c r="E59" t="s">
        <v>201</v>
      </c>
      <c r="F59" t="s">
        <v>278</v>
      </c>
      <c r="G59" t="s">
        <v>201</v>
      </c>
      <c r="H59" t="s">
        <v>332</v>
      </c>
      <c r="I59" t="s">
        <v>332</v>
      </c>
      <c r="J59" t="s">
        <v>279</v>
      </c>
    </row>
    <row r="60" spans="1:10" x14ac:dyDescent="0.35">
      <c r="A60">
        <v>40002</v>
      </c>
      <c r="B60" t="s">
        <v>339</v>
      </c>
      <c r="C60">
        <v>1</v>
      </c>
      <c r="D60" t="s">
        <v>332</v>
      </c>
      <c r="E60" t="s">
        <v>143</v>
      </c>
      <c r="F60" t="s">
        <v>278</v>
      </c>
      <c r="G60" t="s">
        <v>143</v>
      </c>
      <c r="H60" t="s">
        <v>332</v>
      </c>
      <c r="I60" t="s">
        <v>332</v>
      </c>
      <c r="J60" t="s">
        <v>279</v>
      </c>
    </row>
    <row r="61" spans="1:10" x14ac:dyDescent="0.35">
      <c r="A61">
        <v>40003</v>
      </c>
      <c r="B61" t="s">
        <v>340</v>
      </c>
      <c r="C61">
        <v>1</v>
      </c>
      <c r="D61" t="s">
        <v>332</v>
      </c>
      <c r="E61" t="s">
        <v>187</v>
      </c>
      <c r="F61" t="s">
        <v>278</v>
      </c>
      <c r="G61" t="s">
        <v>187</v>
      </c>
      <c r="H61" t="s">
        <v>332</v>
      </c>
      <c r="I61" t="s">
        <v>332</v>
      </c>
      <c r="J61" t="s">
        <v>279</v>
      </c>
    </row>
    <row r="62" spans="1:10" x14ac:dyDescent="0.35">
      <c r="A62">
        <v>40004</v>
      </c>
      <c r="B62" t="s">
        <v>341</v>
      </c>
      <c r="C62">
        <v>1</v>
      </c>
      <c r="D62" t="s">
        <v>332</v>
      </c>
      <c r="E62" t="s">
        <v>201</v>
      </c>
      <c r="F62" t="s">
        <v>278</v>
      </c>
      <c r="G62" t="s">
        <v>201</v>
      </c>
      <c r="H62" t="s">
        <v>332</v>
      </c>
      <c r="I62" t="s">
        <v>332</v>
      </c>
      <c r="J62" t="s">
        <v>279</v>
      </c>
    </row>
    <row r="63" spans="1:10" x14ac:dyDescent="0.35">
      <c r="A63">
        <v>40005</v>
      </c>
      <c r="B63" t="s">
        <v>342</v>
      </c>
      <c r="C63">
        <v>1</v>
      </c>
      <c r="D63" t="s">
        <v>332</v>
      </c>
      <c r="E63" t="s">
        <v>203</v>
      </c>
      <c r="F63" t="s">
        <v>278</v>
      </c>
      <c r="G63" t="s">
        <v>203</v>
      </c>
      <c r="H63" t="s">
        <v>332</v>
      </c>
      <c r="I63" t="s">
        <v>332</v>
      </c>
      <c r="J63" t="s">
        <v>279</v>
      </c>
    </row>
    <row r="64" spans="1:10" x14ac:dyDescent="0.35">
      <c r="A64">
        <v>40007</v>
      </c>
      <c r="B64" t="s">
        <v>343</v>
      </c>
      <c r="C64">
        <v>1</v>
      </c>
      <c r="D64" t="s">
        <v>332</v>
      </c>
      <c r="E64" t="s">
        <v>138</v>
      </c>
      <c r="F64" t="s">
        <v>278</v>
      </c>
      <c r="G64" t="s">
        <v>138</v>
      </c>
      <c r="H64" t="s">
        <v>332</v>
      </c>
      <c r="I64" t="s">
        <v>332</v>
      </c>
      <c r="J64" t="s">
        <v>279</v>
      </c>
    </row>
    <row r="65" spans="1:12" x14ac:dyDescent="0.35">
      <c r="A65">
        <v>40008</v>
      </c>
      <c r="B65" t="s">
        <v>344</v>
      </c>
      <c r="C65">
        <v>1</v>
      </c>
      <c r="D65" t="s">
        <v>332</v>
      </c>
      <c r="E65" t="s">
        <v>189</v>
      </c>
      <c r="F65" t="s">
        <v>278</v>
      </c>
      <c r="G65" t="s">
        <v>189</v>
      </c>
      <c r="H65" t="s">
        <v>332</v>
      </c>
      <c r="I65" t="s">
        <v>332</v>
      </c>
      <c r="J65" t="s">
        <v>279</v>
      </c>
    </row>
    <row r="66" spans="1:12" x14ac:dyDescent="0.35">
      <c r="A66">
        <v>40025</v>
      </c>
      <c r="B66" t="s">
        <v>206</v>
      </c>
      <c r="C66">
        <v>1</v>
      </c>
      <c r="D66" t="s">
        <v>332</v>
      </c>
      <c r="E66" t="s">
        <v>204</v>
      </c>
      <c r="F66" t="s">
        <v>278</v>
      </c>
      <c r="G66" t="s">
        <v>204</v>
      </c>
      <c r="H66" t="s">
        <v>332</v>
      </c>
      <c r="I66" t="s">
        <v>332</v>
      </c>
      <c r="J66" s="7" t="s">
        <v>279</v>
      </c>
      <c r="K66" s="7"/>
      <c r="L66" s="7"/>
    </row>
    <row r="67" spans="1:12" x14ac:dyDescent="0.35">
      <c r="A67">
        <v>40174</v>
      </c>
      <c r="B67" t="s">
        <v>206</v>
      </c>
      <c r="C67">
        <v>1</v>
      </c>
      <c r="D67" t="s">
        <v>332</v>
      </c>
      <c r="E67" t="s">
        <v>204</v>
      </c>
      <c r="F67" t="s">
        <v>278</v>
      </c>
      <c r="G67" t="s">
        <v>204</v>
      </c>
      <c r="H67" t="s">
        <v>332</v>
      </c>
      <c r="I67" t="s">
        <v>332</v>
      </c>
      <c r="J67" s="8" t="s">
        <v>279</v>
      </c>
      <c r="K67" s="8"/>
      <c r="L67" s="8"/>
    </row>
    <row r="68" spans="1:12" x14ac:dyDescent="0.35">
      <c r="A68">
        <v>40601</v>
      </c>
      <c r="B68" t="s">
        <v>345</v>
      </c>
      <c r="C68">
        <v>1</v>
      </c>
      <c r="D68" t="s">
        <v>332</v>
      </c>
      <c r="E68" t="s">
        <v>138</v>
      </c>
      <c r="F68" t="s">
        <v>278</v>
      </c>
      <c r="G68" t="s">
        <v>138</v>
      </c>
      <c r="H68" t="s">
        <v>332</v>
      </c>
      <c r="I68" t="s">
        <v>332</v>
      </c>
      <c r="J68" s="11" t="s">
        <v>279</v>
      </c>
      <c r="K68" s="11"/>
      <c r="L68" s="11"/>
    </row>
    <row r="69" spans="1:12" x14ac:dyDescent="0.35">
      <c r="A69">
        <v>40602</v>
      </c>
      <c r="B69" t="s">
        <v>346</v>
      </c>
      <c r="C69">
        <v>1</v>
      </c>
      <c r="D69" t="s">
        <v>332</v>
      </c>
      <c r="E69" t="s">
        <v>189</v>
      </c>
      <c r="F69" t="s">
        <v>278</v>
      </c>
      <c r="G69" t="s">
        <v>189</v>
      </c>
      <c r="H69" t="s">
        <v>332</v>
      </c>
      <c r="I69" t="s">
        <v>332</v>
      </c>
      <c r="J69" t="s">
        <v>279</v>
      </c>
    </row>
    <row r="70" spans="1:12" x14ac:dyDescent="0.35">
      <c r="A70">
        <v>40603</v>
      </c>
      <c r="B70" t="s">
        <v>347</v>
      </c>
      <c r="C70">
        <v>1</v>
      </c>
      <c r="D70" t="s">
        <v>332</v>
      </c>
      <c r="E70" t="s">
        <v>143</v>
      </c>
      <c r="F70" t="s">
        <v>278</v>
      </c>
      <c r="G70" t="s">
        <v>143</v>
      </c>
      <c r="H70" t="s">
        <v>332</v>
      </c>
      <c r="I70" t="s">
        <v>332</v>
      </c>
      <c r="J70" t="s">
        <v>279</v>
      </c>
    </row>
    <row r="71" spans="1:12" x14ac:dyDescent="0.35">
      <c r="A71">
        <v>40604</v>
      </c>
      <c r="B71" t="s">
        <v>348</v>
      </c>
      <c r="C71">
        <v>1</v>
      </c>
      <c r="D71" t="s">
        <v>332</v>
      </c>
      <c r="E71" t="s">
        <v>187</v>
      </c>
      <c r="F71" t="s">
        <v>278</v>
      </c>
      <c r="G71" t="s">
        <v>187</v>
      </c>
      <c r="H71" t="s">
        <v>332</v>
      </c>
      <c r="I71" t="s">
        <v>332</v>
      </c>
      <c r="J71" t="s">
        <v>279</v>
      </c>
    </row>
    <row r="72" spans="1:12" x14ac:dyDescent="0.35">
      <c r="A72" s="3">
        <v>40605</v>
      </c>
      <c r="B72" s="3" t="s">
        <v>349</v>
      </c>
      <c r="C72">
        <v>1</v>
      </c>
      <c r="D72" t="s">
        <v>332</v>
      </c>
      <c r="E72" t="s">
        <v>201</v>
      </c>
      <c r="F72" t="s">
        <v>278</v>
      </c>
      <c r="G72" t="s">
        <v>201</v>
      </c>
      <c r="H72" t="s">
        <v>332</v>
      </c>
      <c r="I72" t="s">
        <v>332</v>
      </c>
      <c r="J72" t="s">
        <v>279</v>
      </c>
    </row>
    <row r="73" spans="1:12" x14ac:dyDescent="0.35">
      <c r="A73" s="3">
        <v>40606</v>
      </c>
      <c r="B73" s="3" t="s">
        <v>350</v>
      </c>
      <c r="C73">
        <v>1</v>
      </c>
      <c r="D73" t="s">
        <v>332</v>
      </c>
      <c r="E73" t="s">
        <v>203</v>
      </c>
      <c r="F73" t="s">
        <v>278</v>
      </c>
      <c r="G73" t="s">
        <v>203</v>
      </c>
      <c r="H73" t="s">
        <v>332</v>
      </c>
      <c r="I73" t="s">
        <v>332</v>
      </c>
      <c r="J73" t="s">
        <v>279</v>
      </c>
    </row>
    <row r="74" spans="1:12" x14ac:dyDescent="0.35">
      <c r="A74">
        <v>30018</v>
      </c>
      <c r="B74" t="s">
        <v>7</v>
      </c>
      <c r="C74">
        <v>30</v>
      </c>
      <c r="D74" t="s">
        <v>351</v>
      </c>
      <c r="E74" t="s">
        <v>189</v>
      </c>
      <c r="F74" t="s">
        <v>278</v>
      </c>
      <c r="G74" t="s">
        <v>302</v>
      </c>
      <c r="H74" t="s">
        <v>352</v>
      </c>
      <c r="I74" t="s">
        <v>303</v>
      </c>
      <c r="J74" t="s">
        <v>302</v>
      </c>
    </row>
    <row r="75" spans="1:12" x14ac:dyDescent="0.35">
      <c r="A75">
        <v>30024</v>
      </c>
      <c r="B75" t="s">
        <v>19</v>
      </c>
      <c r="C75">
        <v>30</v>
      </c>
      <c r="D75" t="s">
        <v>351</v>
      </c>
      <c r="E75" t="s">
        <v>138</v>
      </c>
      <c r="F75" t="s">
        <v>278</v>
      </c>
      <c r="G75" t="s">
        <v>304</v>
      </c>
      <c r="H75" t="s">
        <v>352</v>
      </c>
      <c r="I75" t="s">
        <v>303</v>
      </c>
      <c r="J75" t="s">
        <v>304</v>
      </c>
    </row>
    <row r="76" spans="1:12" x14ac:dyDescent="0.35">
      <c r="A76">
        <v>30031</v>
      </c>
      <c r="B76" t="s">
        <v>353</v>
      </c>
      <c r="C76">
        <v>30</v>
      </c>
      <c r="D76" t="s">
        <v>351</v>
      </c>
      <c r="E76" t="s">
        <v>138</v>
      </c>
      <c r="F76" t="s">
        <v>278</v>
      </c>
      <c r="G76" t="s">
        <v>138</v>
      </c>
      <c r="H76" t="s">
        <v>354</v>
      </c>
      <c r="I76" t="s">
        <v>303</v>
      </c>
      <c r="J76" s="13" t="s">
        <v>279</v>
      </c>
    </row>
    <row r="77" spans="1:12" x14ac:dyDescent="0.35">
      <c r="A77" s="3">
        <v>30039</v>
      </c>
      <c r="B77" s="3" t="s">
        <v>355</v>
      </c>
      <c r="C77">
        <v>15</v>
      </c>
      <c r="D77" t="s">
        <v>351</v>
      </c>
      <c r="E77" t="s">
        <v>138</v>
      </c>
      <c r="F77" t="s">
        <v>278</v>
      </c>
      <c r="G77" t="s">
        <v>138</v>
      </c>
      <c r="H77" t="s">
        <v>354</v>
      </c>
      <c r="I77" t="s">
        <v>303</v>
      </c>
      <c r="J77" t="s">
        <v>279</v>
      </c>
    </row>
    <row r="78" spans="1:12" x14ac:dyDescent="0.35">
      <c r="A78" s="3">
        <v>30045</v>
      </c>
      <c r="B78" s="3" t="s">
        <v>356</v>
      </c>
      <c r="C78">
        <v>15</v>
      </c>
      <c r="D78" t="s">
        <v>351</v>
      </c>
      <c r="E78" t="s">
        <v>189</v>
      </c>
      <c r="F78" t="s">
        <v>278</v>
      </c>
      <c r="G78" t="s">
        <v>189</v>
      </c>
      <c r="H78" t="s">
        <v>354</v>
      </c>
      <c r="I78" t="s">
        <v>303</v>
      </c>
      <c r="J78" t="s">
        <v>279</v>
      </c>
    </row>
    <row r="79" spans="1:12" x14ac:dyDescent="0.35">
      <c r="A79" s="3">
        <v>30047</v>
      </c>
      <c r="B79" s="3" t="s">
        <v>357</v>
      </c>
      <c r="C79">
        <v>30</v>
      </c>
      <c r="D79" t="s">
        <v>351</v>
      </c>
      <c r="E79" t="s">
        <v>189</v>
      </c>
      <c r="F79" t="s">
        <v>278</v>
      </c>
      <c r="G79" t="s">
        <v>189</v>
      </c>
      <c r="H79" t="s">
        <v>354</v>
      </c>
      <c r="I79" t="s">
        <v>303</v>
      </c>
      <c r="J79" t="s">
        <v>279</v>
      </c>
    </row>
    <row r="80" spans="1:12" x14ac:dyDescent="0.35">
      <c r="A80">
        <v>30051</v>
      </c>
      <c r="B80" t="s">
        <v>358</v>
      </c>
      <c r="C80">
        <v>15</v>
      </c>
      <c r="D80" t="s">
        <v>351</v>
      </c>
      <c r="E80" t="s">
        <v>143</v>
      </c>
      <c r="F80" t="s">
        <v>278</v>
      </c>
      <c r="G80" t="s">
        <v>143</v>
      </c>
      <c r="H80" t="s">
        <v>354</v>
      </c>
      <c r="I80" t="s">
        <v>303</v>
      </c>
      <c r="J80" t="s">
        <v>279</v>
      </c>
    </row>
    <row r="81" spans="1:10" x14ac:dyDescent="0.35">
      <c r="A81">
        <v>30053</v>
      </c>
      <c r="B81" t="s">
        <v>359</v>
      </c>
      <c r="C81">
        <v>30</v>
      </c>
      <c r="D81" t="s">
        <v>351</v>
      </c>
      <c r="E81" t="s">
        <v>143</v>
      </c>
      <c r="F81" t="s">
        <v>278</v>
      </c>
      <c r="G81" t="s">
        <v>143</v>
      </c>
      <c r="H81" t="s">
        <v>354</v>
      </c>
      <c r="I81" t="s">
        <v>303</v>
      </c>
      <c r="J81" t="s">
        <v>279</v>
      </c>
    </row>
    <row r="82" spans="1:10" x14ac:dyDescent="0.35">
      <c r="A82">
        <v>30054</v>
      </c>
      <c r="B82" t="s">
        <v>360</v>
      </c>
      <c r="C82">
        <v>20</v>
      </c>
      <c r="D82" t="s">
        <v>351</v>
      </c>
      <c r="E82" t="s">
        <v>187</v>
      </c>
      <c r="F82" t="s">
        <v>278</v>
      </c>
      <c r="G82" t="s">
        <v>187</v>
      </c>
      <c r="H82" s="4" t="s">
        <v>354</v>
      </c>
      <c r="I82" s="4" t="s">
        <v>303</v>
      </c>
      <c r="J82" t="s">
        <v>279</v>
      </c>
    </row>
    <row r="83" spans="1:10" x14ac:dyDescent="0.35">
      <c r="A83">
        <v>40105</v>
      </c>
      <c r="B83" t="s">
        <v>165</v>
      </c>
      <c r="C83">
        <v>15</v>
      </c>
      <c r="D83" t="s">
        <v>351</v>
      </c>
      <c r="E83" t="s">
        <v>189</v>
      </c>
      <c r="F83" t="s">
        <v>278</v>
      </c>
      <c r="G83" t="s">
        <v>302</v>
      </c>
      <c r="H83" t="s">
        <v>352</v>
      </c>
      <c r="I83" t="s">
        <v>303</v>
      </c>
      <c r="J83" t="s">
        <v>302</v>
      </c>
    </row>
    <row r="84" spans="1:10" x14ac:dyDescent="0.35">
      <c r="A84">
        <v>40107</v>
      </c>
      <c r="B84" t="s">
        <v>153</v>
      </c>
      <c r="C84">
        <v>15</v>
      </c>
      <c r="D84" t="s">
        <v>351</v>
      </c>
      <c r="E84" t="s">
        <v>138</v>
      </c>
      <c r="F84" t="s">
        <v>278</v>
      </c>
      <c r="G84" t="s">
        <v>304</v>
      </c>
      <c r="H84" t="s">
        <v>352</v>
      </c>
      <c r="I84" t="s">
        <v>303</v>
      </c>
      <c r="J84" t="s">
        <v>304</v>
      </c>
    </row>
    <row r="85" spans="1:10" x14ac:dyDescent="0.35">
      <c r="A85">
        <v>40205</v>
      </c>
      <c r="B85" t="s">
        <v>361</v>
      </c>
      <c r="C85">
        <v>20</v>
      </c>
      <c r="D85" t="s">
        <v>351</v>
      </c>
      <c r="E85" t="s">
        <v>187</v>
      </c>
      <c r="F85" t="s">
        <v>278</v>
      </c>
      <c r="G85" t="s">
        <v>327</v>
      </c>
      <c r="H85" t="s">
        <v>352</v>
      </c>
      <c r="I85" t="s">
        <v>303</v>
      </c>
      <c r="J85" t="s">
        <v>327</v>
      </c>
    </row>
    <row r="86" spans="1:10" x14ac:dyDescent="0.35">
      <c r="A86">
        <v>40239</v>
      </c>
      <c r="B86" t="s">
        <v>169</v>
      </c>
      <c r="C86">
        <v>30</v>
      </c>
      <c r="D86" t="s">
        <v>351</v>
      </c>
      <c r="E86" t="s">
        <v>189</v>
      </c>
      <c r="F86" t="s">
        <v>274</v>
      </c>
      <c r="G86" t="s">
        <v>189</v>
      </c>
      <c r="H86" t="s">
        <v>354</v>
      </c>
      <c r="I86" t="s">
        <v>303</v>
      </c>
      <c r="J86" t="s">
        <v>274</v>
      </c>
    </row>
    <row r="87" spans="1:10" x14ac:dyDescent="0.35">
      <c r="A87" s="3">
        <v>40240</v>
      </c>
      <c r="B87" s="3" t="s">
        <v>162</v>
      </c>
      <c r="C87">
        <v>30</v>
      </c>
      <c r="D87" t="s">
        <v>351</v>
      </c>
      <c r="E87" t="s">
        <v>138</v>
      </c>
      <c r="F87" t="s">
        <v>274</v>
      </c>
      <c r="G87" t="s">
        <v>138</v>
      </c>
      <c r="H87" t="s">
        <v>354</v>
      </c>
      <c r="I87" t="s">
        <v>303</v>
      </c>
      <c r="J87" t="s">
        <v>274</v>
      </c>
    </row>
    <row r="88" spans="1:10" x14ac:dyDescent="0.35">
      <c r="A88">
        <v>40265</v>
      </c>
      <c r="B88" t="s">
        <v>362</v>
      </c>
      <c r="C88">
        <v>30</v>
      </c>
      <c r="D88" t="s">
        <v>351</v>
      </c>
      <c r="E88" t="s">
        <v>143</v>
      </c>
      <c r="F88" t="s">
        <v>278</v>
      </c>
      <c r="G88" t="s">
        <v>327</v>
      </c>
      <c r="H88" t="s">
        <v>352</v>
      </c>
      <c r="I88" t="s">
        <v>303</v>
      </c>
      <c r="J88" t="s">
        <v>327</v>
      </c>
    </row>
    <row r="89" spans="1:10" x14ac:dyDescent="0.35">
      <c r="A89" s="3">
        <v>40477</v>
      </c>
      <c r="B89" s="3" t="s">
        <v>363</v>
      </c>
      <c r="C89">
        <v>15</v>
      </c>
      <c r="D89" t="s">
        <v>351</v>
      </c>
      <c r="E89" t="s">
        <v>143</v>
      </c>
      <c r="F89" t="s">
        <v>278</v>
      </c>
      <c r="G89" t="s">
        <v>327</v>
      </c>
      <c r="H89" t="s">
        <v>352</v>
      </c>
      <c r="I89" t="s">
        <v>303</v>
      </c>
      <c r="J89" t="s">
        <v>327</v>
      </c>
    </row>
    <row r="90" spans="1:10" x14ac:dyDescent="0.35">
      <c r="A90" s="32">
        <v>40525</v>
      </c>
      <c r="B90" s="32" t="s">
        <v>252</v>
      </c>
      <c r="C90" s="32">
        <v>60</v>
      </c>
      <c r="D90" t="s">
        <v>351</v>
      </c>
      <c r="E90" s="36" t="s">
        <v>189</v>
      </c>
      <c r="F90" t="s">
        <v>278</v>
      </c>
      <c r="G90" t="s">
        <v>302</v>
      </c>
      <c r="H90" t="s">
        <v>352</v>
      </c>
      <c r="I90" t="s">
        <v>303</v>
      </c>
      <c r="J90" t="s">
        <v>302</v>
      </c>
    </row>
    <row r="91" spans="1:10" x14ac:dyDescent="0.35">
      <c r="A91" s="33">
        <v>40526</v>
      </c>
      <c r="B91" s="34" t="s">
        <v>364</v>
      </c>
      <c r="C91" s="35">
        <v>30</v>
      </c>
      <c r="D91" t="s">
        <v>351</v>
      </c>
      <c r="E91" s="37" t="s">
        <v>306</v>
      </c>
      <c r="F91" t="s">
        <v>278</v>
      </c>
      <c r="G91" t="s">
        <v>318</v>
      </c>
      <c r="H91" t="s">
        <v>352</v>
      </c>
      <c r="I91" t="s">
        <v>303</v>
      </c>
      <c r="J91" t="s">
        <v>318</v>
      </c>
    </row>
    <row r="92" spans="1:10" x14ac:dyDescent="0.35">
      <c r="A92">
        <v>40537</v>
      </c>
      <c r="B92" t="s">
        <v>365</v>
      </c>
      <c r="C92">
        <v>30</v>
      </c>
      <c r="D92" t="s">
        <v>351</v>
      </c>
      <c r="E92" t="s">
        <v>189</v>
      </c>
      <c r="F92" t="s">
        <v>278</v>
      </c>
      <c r="G92" t="s">
        <v>327</v>
      </c>
      <c r="H92" t="s">
        <v>352</v>
      </c>
      <c r="I92" t="s">
        <v>303</v>
      </c>
      <c r="J92" t="s">
        <v>327</v>
      </c>
    </row>
    <row r="93" spans="1:10" x14ac:dyDescent="0.35">
      <c r="A93" s="3">
        <v>40668</v>
      </c>
      <c r="B93" s="3" t="s">
        <v>366</v>
      </c>
      <c r="C93">
        <v>30</v>
      </c>
      <c r="D93" t="s">
        <v>351</v>
      </c>
      <c r="E93" t="s">
        <v>138</v>
      </c>
      <c r="F93" t="s">
        <v>278</v>
      </c>
      <c r="G93" t="s">
        <v>302</v>
      </c>
      <c r="H93" t="s">
        <v>352</v>
      </c>
      <c r="I93" t="s">
        <v>303</v>
      </c>
      <c r="J93" t="s">
        <v>302</v>
      </c>
    </row>
    <row r="94" spans="1:10" x14ac:dyDescent="0.35">
      <c r="A94">
        <v>30060</v>
      </c>
      <c r="B94" t="s">
        <v>367</v>
      </c>
      <c r="C94">
        <v>11</v>
      </c>
      <c r="D94" t="s">
        <v>368</v>
      </c>
      <c r="E94" t="s">
        <v>368</v>
      </c>
      <c r="F94" t="s">
        <v>278</v>
      </c>
      <c r="G94" t="s">
        <v>368</v>
      </c>
      <c r="H94" t="s">
        <v>368</v>
      </c>
      <c r="I94" t="s">
        <v>368</v>
      </c>
      <c r="J94" t="s">
        <v>279</v>
      </c>
    </row>
    <row r="95" spans="1:10" x14ac:dyDescent="0.35">
      <c r="A95">
        <v>30061</v>
      </c>
      <c r="B95" t="s">
        <v>369</v>
      </c>
      <c r="C95">
        <v>11</v>
      </c>
      <c r="D95" t="s">
        <v>368</v>
      </c>
      <c r="E95" t="s">
        <v>368</v>
      </c>
      <c r="F95" t="s">
        <v>278</v>
      </c>
      <c r="G95" t="s">
        <v>368</v>
      </c>
      <c r="H95" t="s">
        <v>368</v>
      </c>
      <c r="I95" t="s">
        <v>368</v>
      </c>
      <c r="J95" t="s">
        <v>279</v>
      </c>
    </row>
    <row r="96" spans="1:10" x14ac:dyDescent="0.35">
      <c r="A96">
        <v>40006</v>
      </c>
      <c r="B96" t="s">
        <v>370</v>
      </c>
      <c r="C96">
        <v>11</v>
      </c>
      <c r="D96" t="s">
        <v>368</v>
      </c>
      <c r="E96" t="s">
        <v>368</v>
      </c>
      <c r="F96" t="s">
        <v>278</v>
      </c>
      <c r="G96" t="s">
        <v>368</v>
      </c>
      <c r="H96" t="s">
        <v>368</v>
      </c>
      <c r="I96" t="s">
        <v>368</v>
      </c>
      <c r="J96" t="s">
        <v>279</v>
      </c>
    </row>
    <row r="97" spans="1:10" x14ac:dyDescent="0.35">
      <c r="A97" s="42">
        <v>40674</v>
      </c>
      <c r="B97" s="42" t="s">
        <v>371</v>
      </c>
      <c r="C97">
        <v>180</v>
      </c>
      <c r="D97" t="s">
        <v>273</v>
      </c>
      <c r="E97" t="s">
        <v>138</v>
      </c>
      <c r="F97" t="s">
        <v>278</v>
      </c>
      <c r="G97" t="s">
        <v>138</v>
      </c>
      <c r="H97" t="s">
        <v>273</v>
      </c>
      <c r="I97" t="s">
        <v>273</v>
      </c>
      <c r="J97" t="s">
        <v>279</v>
      </c>
    </row>
    <row r="98" spans="1:10" x14ac:dyDescent="0.35">
      <c r="A98" s="43">
        <v>40695</v>
      </c>
      <c r="B98" s="43" t="s">
        <v>372</v>
      </c>
      <c r="C98">
        <v>240</v>
      </c>
      <c r="D98" t="s">
        <v>273</v>
      </c>
      <c r="E98" t="s">
        <v>138</v>
      </c>
      <c r="F98" t="s">
        <v>278</v>
      </c>
      <c r="G98" t="s">
        <v>138</v>
      </c>
      <c r="H98" t="s">
        <v>273</v>
      </c>
      <c r="I98" t="s">
        <v>273</v>
      </c>
      <c r="J98" t="s">
        <v>279</v>
      </c>
    </row>
    <row r="99" spans="1:10" x14ac:dyDescent="0.35">
      <c r="A99" s="43">
        <v>40697</v>
      </c>
      <c r="B99" s="43" t="s">
        <v>373</v>
      </c>
      <c r="C99">
        <v>240</v>
      </c>
      <c r="D99" t="s">
        <v>273</v>
      </c>
      <c r="E99" t="s">
        <v>189</v>
      </c>
      <c r="F99" t="s">
        <v>278</v>
      </c>
      <c r="G99" t="s">
        <v>189</v>
      </c>
      <c r="H99" t="s">
        <v>273</v>
      </c>
      <c r="I99" t="s">
        <v>273</v>
      </c>
      <c r="J99" t="s">
        <v>279</v>
      </c>
    </row>
    <row r="100" spans="1:10" x14ac:dyDescent="0.35">
      <c r="A100" s="43">
        <v>40694</v>
      </c>
      <c r="B100" s="43" t="s">
        <v>374</v>
      </c>
      <c r="C100">
        <v>288</v>
      </c>
      <c r="D100" t="s">
        <v>301</v>
      </c>
      <c r="E100" t="s">
        <v>189</v>
      </c>
      <c r="F100" t="s">
        <v>278</v>
      </c>
      <c r="G100" t="s">
        <v>189</v>
      </c>
      <c r="H100" t="s">
        <v>301</v>
      </c>
      <c r="I100" t="s">
        <v>303</v>
      </c>
      <c r="J100" t="s">
        <v>279</v>
      </c>
    </row>
    <row r="101" spans="1:10" x14ac:dyDescent="0.35">
      <c r="A101" s="43">
        <v>40698</v>
      </c>
      <c r="B101" s="43" t="s">
        <v>375</v>
      </c>
      <c r="C101">
        <v>300</v>
      </c>
      <c r="D101" t="s">
        <v>351</v>
      </c>
      <c r="E101" t="s">
        <v>189</v>
      </c>
      <c r="F101" t="s">
        <v>278</v>
      </c>
      <c r="G101" t="s">
        <v>302</v>
      </c>
      <c r="H101" t="s">
        <v>352</v>
      </c>
      <c r="I101" t="s">
        <v>303</v>
      </c>
      <c r="J101" t="s">
        <v>302</v>
      </c>
    </row>
    <row r="102" spans="1:10" x14ac:dyDescent="0.35">
      <c r="A102">
        <v>40833</v>
      </c>
      <c r="B102" t="s">
        <v>522</v>
      </c>
      <c r="C102">
        <v>30</v>
      </c>
      <c r="D102" t="s">
        <v>351</v>
      </c>
      <c r="E102" t="s">
        <v>143</v>
      </c>
      <c r="F102" t="s">
        <v>278</v>
      </c>
      <c r="G102" t="s">
        <v>143</v>
      </c>
      <c r="I102" t="s">
        <v>303</v>
      </c>
      <c r="J102" t="s">
        <v>274</v>
      </c>
    </row>
    <row r="103" spans="1:10" x14ac:dyDescent="0.35">
      <c r="A103">
        <v>40789</v>
      </c>
      <c r="B103" t="s">
        <v>523</v>
      </c>
      <c r="C103">
        <v>30</v>
      </c>
      <c r="D103" t="s">
        <v>273</v>
      </c>
      <c r="E103" t="s">
        <v>138</v>
      </c>
      <c r="F103" t="s">
        <v>274</v>
      </c>
      <c r="G103" t="s">
        <v>138</v>
      </c>
      <c r="H103" t="s">
        <v>273</v>
      </c>
      <c r="I103" t="s">
        <v>273</v>
      </c>
      <c r="J103" t="s">
        <v>274</v>
      </c>
    </row>
    <row r="104" spans="1:10" x14ac:dyDescent="0.35">
      <c r="A104">
        <v>40790</v>
      </c>
      <c r="B104" t="s">
        <v>524</v>
      </c>
      <c r="C104">
        <v>30</v>
      </c>
      <c r="D104" t="s">
        <v>273</v>
      </c>
      <c r="E104" t="s">
        <v>201</v>
      </c>
      <c r="F104" t="s">
        <v>274</v>
      </c>
      <c r="G104" t="s">
        <v>201</v>
      </c>
      <c r="H104" t="s">
        <v>273</v>
      </c>
      <c r="I104" t="s">
        <v>273</v>
      </c>
      <c r="J104" t="s">
        <v>274</v>
      </c>
    </row>
    <row r="105" spans="1:10" x14ac:dyDescent="0.35">
      <c r="A105">
        <v>40830</v>
      </c>
      <c r="B105" t="s">
        <v>525</v>
      </c>
      <c r="C105">
        <v>30</v>
      </c>
      <c r="D105" t="s">
        <v>273</v>
      </c>
      <c r="E105" t="s">
        <v>201</v>
      </c>
      <c r="F105" t="s">
        <v>274</v>
      </c>
      <c r="G105" t="s">
        <v>138</v>
      </c>
      <c r="H105" t="s">
        <v>273</v>
      </c>
      <c r="I105" t="s">
        <v>273</v>
      </c>
      <c r="J105" t="str">
        <f>_xlfn.XLOOKUP(Tabla42[[#This Row],[CODIGO]],'[2]BD Cod Huevos'!$A:$A,'[2]BD Cod Huevos'!$F:$F)</f>
        <v>OLIMPICA</v>
      </c>
    </row>
    <row r="106" spans="1:10" x14ac:dyDescent="0.35">
      <c r="A106">
        <v>40831</v>
      </c>
      <c r="B106" t="s">
        <v>526</v>
      </c>
      <c r="C106">
        <v>30</v>
      </c>
      <c r="D106" t="s">
        <v>273</v>
      </c>
      <c r="E106" t="s">
        <v>189</v>
      </c>
      <c r="F106" t="s">
        <v>274</v>
      </c>
      <c r="G106" t="s">
        <v>189</v>
      </c>
      <c r="H106" t="s">
        <v>273</v>
      </c>
      <c r="I106" t="s">
        <v>273</v>
      </c>
      <c r="J106" t="s">
        <v>274</v>
      </c>
    </row>
    <row r="107" spans="1:10" x14ac:dyDescent="0.35">
      <c r="A107">
        <v>40832</v>
      </c>
      <c r="B107" t="s">
        <v>527</v>
      </c>
      <c r="C107">
        <v>30</v>
      </c>
      <c r="D107" t="s">
        <v>273</v>
      </c>
      <c r="E107" t="s">
        <v>201</v>
      </c>
      <c r="F107" t="s">
        <v>274</v>
      </c>
      <c r="G107" t="s">
        <v>201</v>
      </c>
      <c r="H107" t="s">
        <v>273</v>
      </c>
      <c r="I107" t="s">
        <v>273</v>
      </c>
      <c r="J107" t="s">
        <v>274</v>
      </c>
    </row>
    <row r="108" spans="1:10" x14ac:dyDescent="0.35">
      <c r="A108">
        <v>40829</v>
      </c>
      <c r="B108" t="s">
        <v>528</v>
      </c>
      <c r="C108">
        <v>60</v>
      </c>
      <c r="D108" t="s">
        <v>273</v>
      </c>
      <c r="E108" t="s">
        <v>138</v>
      </c>
      <c r="F108" t="s">
        <v>274</v>
      </c>
      <c r="G108" t="s">
        <v>138</v>
      </c>
      <c r="H108" t="s">
        <v>273</v>
      </c>
      <c r="I108" t="s">
        <v>273</v>
      </c>
      <c r="J108" t="s">
        <v>274</v>
      </c>
    </row>
    <row r="109" spans="1:10" x14ac:dyDescent="0.35">
      <c r="A109">
        <v>40803</v>
      </c>
      <c r="B109" t="s">
        <v>529</v>
      </c>
      <c r="C109">
        <v>18</v>
      </c>
      <c r="D109" t="s">
        <v>351</v>
      </c>
      <c r="E109" t="s">
        <v>189</v>
      </c>
      <c r="F109" t="s">
        <v>278</v>
      </c>
      <c r="G109" t="s">
        <v>189</v>
      </c>
      <c r="H109" t="s">
        <v>352</v>
      </c>
      <c r="I109" t="s">
        <v>303</v>
      </c>
      <c r="J109" t="s">
        <v>327</v>
      </c>
    </row>
    <row r="110" spans="1:10" x14ac:dyDescent="0.35">
      <c r="A110">
        <v>30029</v>
      </c>
      <c r="B110" t="s">
        <v>36</v>
      </c>
      <c r="C110">
        <v>30</v>
      </c>
      <c r="D110" t="s">
        <v>273</v>
      </c>
      <c r="E110" t="s">
        <v>138</v>
      </c>
      <c r="F110" t="s">
        <v>278</v>
      </c>
      <c r="G110" t="s">
        <v>138</v>
      </c>
      <c r="H110" t="s">
        <v>273</v>
      </c>
      <c r="I110" t="s">
        <v>273</v>
      </c>
      <c r="J110" t="s">
        <v>279</v>
      </c>
    </row>
    <row r="111" spans="1:10" x14ac:dyDescent="0.35">
      <c r="A111">
        <v>40109</v>
      </c>
      <c r="B111" t="s">
        <v>156</v>
      </c>
      <c r="C111">
        <v>45</v>
      </c>
      <c r="D111" t="s">
        <v>273</v>
      </c>
      <c r="E111" t="s">
        <v>138</v>
      </c>
      <c r="F111" t="s">
        <v>278</v>
      </c>
      <c r="G111" t="s">
        <v>138</v>
      </c>
      <c r="H111" t="s">
        <v>273</v>
      </c>
      <c r="I111" t="s">
        <v>273</v>
      </c>
      <c r="J111" t="s">
        <v>279</v>
      </c>
    </row>
    <row r="112" spans="1:10" x14ac:dyDescent="0.35">
      <c r="A112">
        <v>30036</v>
      </c>
      <c r="B112" t="s">
        <v>157</v>
      </c>
      <c r="C112">
        <v>360</v>
      </c>
      <c r="D112" t="s">
        <v>530</v>
      </c>
      <c r="E112" t="s">
        <v>138</v>
      </c>
      <c r="F112" t="s">
        <v>278</v>
      </c>
      <c r="G112" t="s">
        <v>138</v>
      </c>
      <c r="H112" t="s">
        <v>530</v>
      </c>
      <c r="I112" t="s">
        <v>332</v>
      </c>
      <c r="J112" t="s">
        <v>279</v>
      </c>
    </row>
    <row r="113" spans="1:10" x14ac:dyDescent="0.35">
      <c r="A113">
        <v>10000</v>
      </c>
      <c r="B113" t="s">
        <v>133</v>
      </c>
      <c r="C113">
        <v>1</v>
      </c>
      <c r="D113" t="s">
        <v>332</v>
      </c>
      <c r="E113" t="s">
        <v>332</v>
      </c>
      <c r="F113" t="s">
        <v>278</v>
      </c>
      <c r="G113" t="s">
        <v>333</v>
      </c>
      <c r="H113" t="s">
        <v>332</v>
      </c>
      <c r="I113" t="s">
        <v>332</v>
      </c>
      <c r="J113" t="s">
        <v>279</v>
      </c>
    </row>
    <row r="114" spans="1:10" x14ac:dyDescent="0.35">
      <c r="A114">
        <v>30120</v>
      </c>
      <c r="B114" t="s">
        <v>178</v>
      </c>
      <c r="C114">
        <v>1</v>
      </c>
      <c r="D114" t="s">
        <v>332</v>
      </c>
      <c r="E114" t="s">
        <v>332</v>
      </c>
      <c r="F114" t="s">
        <v>278</v>
      </c>
      <c r="G114" t="s">
        <v>333</v>
      </c>
      <c r="H114" t="s">
        <v>332</v>
      </c>
      <c r="I114" t="s">
        <v>332</v>
      </c>
      <c r="J114" t="s">
        <v>279</v>
      </c>
    </row>
    <row r="115" spans="1:10" x14ac:dyDescent="0.35">
      <c r="A115">
        <v>30067</v>
      </c>
      <c r="B115" t="s">
        <v>180</v>
      </c>
      <c r="C115">
        <v>1</v>
      </c>
      <c r="D115" t="s">
        <v>332</v>
      </c>
      <c r="E115" t="s">
        <v>333</v>
      </c>
      <c r="F115" t="s">
        <v>278</v>
      </c>
      <c r="G115" t="s">
        <v>333</v>
      </c>
      <c r="H115" t="s">
        <v>332</v>
      </c>
      <c r="I115" t="s">
        <v>332</v>
      </c>
      <c r="J115" t="s">
        <v>279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3B47-DABA-4E99-A788-7CFE3D089AB6}">
  <sheetPr codeName="Hoja3"/>
  <dimension ref="A1:U112"/>
  <sheetViews>
    <sheetView topLeftCell="A48" workbookViewId="0">
      <selection activeCell="F5" sqref="F5"/>
    </sheetView>
  </sheetViews>
  <sheetFormatPr baseColWidth="10" defaultColWidth="11.453125" defaultRowHeight="14.5" x14ac:dyDescent="0.35"/>
  <cols>
    <col min="1" max="1" width="15.90625" style="50" bestFit="1" customWidth="1"/>
    <col min="2" max="2" width="12.26953125" style="50" bestFit="1" customWidth="1"/>
    <col min="3" max="3" width="42.81640625" bestFit="1" customWidth="1"/>
    <col min="4" max="4" width="9.1796875" style="50" bestFit="1" customWidth="1"/>
    <col min="5" max="5" width="16.26953125" style="50" bestFit="1" customWidth="1"/>
    <col min="6" max="6" width="13.6328125" style="50" bestFit="1" customWidth="1"/>
    <col min="7" max="7" width="16.453125" style="50" customWidth="1"/>
    <col min="8" max="10" width="10.453125" style="50" bestFit="1" customWidth="1"/>
    <col min="11" max="11" width="15.36328125" style="50" bestFit="1" customWidth="1"/>
    <col min="15" max="15" width="16.26953125" bestFit="1" customWidth="1"/>
    <col min="16" max="16" width="7.26953125" bestFit="1" customWidth="1"/>
    <col min="17" max="17" width="15.453125" bestFit="1" customWidth="1"/>
    <col min="18" max="18" width="10.81640625" bestFit="1" customWidth="1"/>
    <col min="19" max="19" width="11.1796875" bestFit="1" customWidth="1"/>
    <col min="20" max="20" width="10.6328125" bestFit="1" customWidth="1"/>
    <col min="21" max="21" width="15.453125" bestFit="1" customWidth="1"/>
  </cols>
  <sheetData>
    <row r="1" spans="1:21" s="50" customFormat="1" ht="15" thickBot="1" x14ac:dyDescent="0.4">
      <c r="A1" s="51" t="s">
        <v>376</v>
      </c>
      <c r="B1" s="51" t="s">
        <v>216</v>
      </c>
      <c r="C1" s="49" t="s">
        <v>217</v>
      </c>
      <c r="D1" s="49" t="s">
        <v>218</v>
      </c>
      <c r="E1" s="49" t="s">
        <v>265</v>
      </c>
      <c r="F1" s="49" t="s">
        <v>487</v>
      </c>
      <c r="G1" s="49" t="s">
        <v>267</v>
      </c>
      <c r="H1" s="49" t="s">
        <v>268</v>
      </c>
      <c r="I1" s="49" t="s">
        <v>269</v>
      </c>
      <c r="J1" s="49" t="s">
        <v>270</v>
      </c>
      <c r="K1" s="49" t="s">
        <v>271</v>
      </c>
      <c r="O1" s="50" t="s">
        <v>265</v>
      </c>
      <c r="P1" s="50" t="s">
        <v>266</v>
      </c>
      <c r="Q1" s="50" t="s">
        <v>267</v>
      </c>
      <c r="R1" s="50" t="s">
        <v>268</v>
      </c>
      <c r="S1" s="50" t="s">
        <v>269</v>
      </c>
      <c r="T1" s="50" t="s">
        <v>270</v>
      </c>
      <c r="U1" s="52" t="s">
        <v>271</v>
      </c>
    </row>
    <row r="2" spans="1:21" ht="15" thickTop="1" x14ac:dyDescent="0.35">
      <c r="A2" s="50">
        <v>40751</v>
      </c>
      <c r="B2" s="50">
        <v>11035</v>
      </c>
      <c r="C2" t="s">
        <v>377</v>
      </c>
      <c r="D2" s="50">
        <v>12</v>
      </c>
      <c r="E2" s="50" t="s">
        <v>484</v>
      </c>
      <c r="F2" s="50" t="s">
        <v>143</v>
      </c>
      <c r="G2" s="50" t="s">
        <v>489</v>
      </c>
      <c r="O2" t="s">
        <v>351</v>
      </c>
      <c r="P2" t="s">
        <v>189</v>
      </c>
      <c r="Q2" t="s">
        <v>278</v>
      </c>
      <c r="R2" t="s">
        <v>378</v>
      </c>
      <c r="S2" t="s">
        <v>352</v>
      </c>
      <c r="T2" t="s">
        <v>303</v>
      </c>
      <c r="U2" s="13" t="s">
        <v>274</v>
      </c>
    </row>
    <row r="3" spans="1:21" x14ac:dyDescent="0.35">
      <c r="A3" s="50">
        <v>40747</v>
      </c>
      <c r="B3" s="50">
        <v>11036</v>
      </c>
      <c r="C3" t="s">
        <v>379</v>
      </c>
      <c r="D3" s="50">
        <v>12</v>
      </c>
      <c r="E3" s="50" t="s">
        <v>484</v>
      </c>
      <c r="F3" s="50" t="s">
        <v>189</v>
      </c>
      <c r="G3" s="50" t="s">
        <v>489</v>
      </c>
      <c r="O3" t="s">
        <v>301</v>
      </c>
      <c r="P3" t="s">
        <v>138</v>
      </c>
      <c r="Q3" t="s">
        <v>274</v>
      </c>
      <c r="R3" t="s">
        <v>138</v>
      </c>
      <c r="S3" t="s">
        <v>301</v>
      </c>
      <c r="T3" t="e">
        <f>#REF!</f>
        <v>#REF!</v>
      </c>
      <c r="U3" s="13" t="s">
        <v>279</v>
      </c>
    </row>
    <row r="4" spans="1:21" x14ac:dyDescent="0.35">
      <c r="A4" s="50">
        <v>40752</v>
      </c>
      <c r="B4" s="50">
        <v>11039</v>
      </c>
      <c r="C4" t="s">
        <v>380</v>
      </c>
      <c r="D4" s="50">
        <v>18</v>
      </c>
      <c r="E4" s="50" t="s">
        <v>351</v>
      </c>
      <c r="F4" s="50" t="s">
        <v>488</v>
      </c>
      <c r="G4" s="50" t="s">
        <v>489</v>
      </c>
      <c r="O4" t="s">
        <v>273</v>
      </c>
      <c r="P4" t="s">
        <v>201</v>
      </c>
      <c r="R4" t="s">
        <v>201</v>
      </c>
      <c r="S4" t="s">
        <v>273</v>
      </c>
      <c r="T4" t="e">
        <f>#REF!</f>
        <v>#REF!</v>
      </c>
      <c r="U4" s="45" t="s">
        <v>302</v>
      </c>
    </row>
    <row r="5" spans="1:21" x14ac:dyDescent="0.35">
      <c r="A5" s="50">
        <v>40749</v>
      </c>
      <c r="B5" s="50">
        <v>11040</v>
      </c>
      <c r="C5" t="s">
        <v>381</v>
      </c>
      <c r="D5" s="50">
        <v>30</v>
      </c>
      <c r="E5" s="50" t="s">
        <v>351</v>
      </c>
      <c r="F5" s="50" t="s">
        <v>189</v>
      </c>
      <c r="G5" s="50" t="s">
        <v>489</v>
      </c>
      <c r="O5" t="s">
        <v>332</v>
      </c>
      <c r="P5" t="s">
        <v>203</v>
      </c>
      <c r="R5" t="s">
        <v>382</v>
      </c>
      <c r="S5" t="s">
        <v>332</v>
      </c>
      <c r="T5" t="e">
        <f>#REF!</f>
        <v>#REF!</v>
      </c>
      <c r="U5" s="45" t="s">
        <v>304</v>
      </c>
    </row>
    <row r="6" spans="1:21" x14ac:dyDescent="0.35">
      <c r="A6" s="50">
        <v>40723</v>
      </c>
      <c r="B6" s="50">
        <v>11080</v>
      </c>
      <c r="C6" t="s">
        <v>383</v>
      </c>
      <c r="D6" s="50">
        <v>1</v>
      </c>
      <c r="E6" s="50" t="s">
        <v>332</v>
      </c>
      <c r="F6" s="50" t="s">
        <v>143</v>
      </c>
      <c r="G6" s="50" t="s">
        <v>489</v>
      </c>
      <c r="O6" t="s">
        <v>368</v>
      </c>
      <c r="P6" t="s">
        <v>333</v>
      </c>
      <c r="R6" t="s">
        <v>203</v>
      </c>
      <c r="S6" t="s">
        <v>354</v>
      </c>
      <c r="U6" s="45" t="s">
        <v>307</v>
      </c>
    </row>
    <row r="7" spans="1:21" x14ac:dyDescent="0.35">
      <c r="B7" s="50">
        <v>11309</v>
      </c>
      <c r="C7" t="s">
        <v>384</v>
      </c>
      <c r="D7" s="50">
        <v>30</v>
      </c>
      <c r="E7" s="50" t="s">
        <v>351</v>
      </c>
      <c r="F7" s="50" t="s">
        <v>143</v>
      </c>
      <c r="G7" s="50" t="s">
        <v>489</v>
      </c>
      <c r="P7" t="s">
        <v>204</v>
      </c>
      <c r="R7" t="s">
        <v>385</v>
      </c>
      <c r="S7" t="s">
        <v>368</v>
      </c>
      <c r="U7" s="45" t="s">
        <v>316</v>
      </c>
    </row>
    <row r="8" spans="1:21" x14ac:dyDescent="0.35">
      <c r="B8" s="50">
        <v>11877</v>
      </c>
      <c r="C8" t="s">
        <v>386</v>
      </c>
      <c r="D8" s="50">
        <v>30</v>
      </c>
      <c r="E8" s="50" t="s">
        <v>351</v>
      </c>
      <c r="F8" s="50" t="s">
        <v>189</v>
      </c>
      <c r="G8" s="50" t="s">
        <v>489</v>
      </c>
      <c r="P8" t="s">
        <v>306</v>
      </c>
      <c r="R8" t="s">
        <v>387</v>
      </c>
      <c r="U8" s="45" t="s">
        <v>318</v>
      </c>
    </row>
    <row r="9" spans="1:21" x14ac:dyDescent="0.35">
      <c r="B9" s="50">
        <v>11909</v>
      </c>
      <c r="C9" t="s">
        <v>388</v>
      </c>
      <c r="D9" s="50">
        <v>30</v>
      </c>
      <c r="E9" s="50" t="s">
        <v>351</v>
      </c>
      <c r="F9" s="50" t="s">
        <v>189</v>
      </c>
      <c r="G9" s="50" t="s">
        <v>489</v>
      </c>
      <c r="P9" t="s">
        <v>143</v>
      </c>
      <c r="R9" t="s">
        <v>389</v>
      </c>
      <c r="U9" s="45" t="s">
        <v>320</v>
      </c>
    </row>
    <row r="10" spans="1:21" x14ac:dyDescent="0.35">
      <c r="B10" s="50">
        <v>11910</v>
      </c>
      <c r="C10" t="s">
        <v>390</v>
      </c>
      <c r="D10" s="50">
        <v>30</v>
      </c>
      <c r="E10" s="50" t="s">
        <v>351</v>
      </c>
      <c r="F10" s="50" t="s">
        <v>189</v>
      </c>
      <c r="G10" s="50" t="s">
        <v>489</v>
      </c>
      <c r="P10" t="s">
        <v>187</v>
      </c>
      <c r="R10" t="s">
        <v>189</v>
      </c>
      <c r="U10" s="46" t="s">
        <v>322</v>
      </c>
    </row>
    <row r="11" spans="1:21" x14ac:dyDescent="0.35">
      <c r="A11" s="50">
        <v>40734</v>
      </c>
      <c r="B11" s="50">
        <v>11019</v>
      </c>
      <c r="C11" t="s">
        <v>391</v>
      </c>
      <c r="D11" s="50">
        <v>60</v>
      </c>
      <c r="E11" s="50" t="s">
        <v>273</v>
      </c>
      <c r="F11" s="50" t="s">
        <v>138</v>
      </c>
      <c r="G11" s="50" t="s">
        <v>274</v>
      </c>
      <c r="P11" t="s">
        <v>368</v>
      </c>
      <c r="R11" t="s">
        <v>143</v>
      </c>
      <c r="U11" s="45" t="s">
        <v>324</v>
      </c>
    </row>
    <row r="12" spans="1:21" x14ac:dyDescent="0.35">
      <c r="B12" s="50">
        <v>11035</v>
      </c>
      <c r="C12" t="s">
        <v>392</v>
      </c>
      <c r="D12" s="50">
        <v>12</v>
      </c>
      <c r="E12" s="50" t="s">
        <v>484</v>
      </c>
      <c r="F12" s="50" t="s">
        <v>143</v>
      </c>
      <c r="G12" s="50" t="s">
        <v>489</v>
      </c>
      <c r="R12" t="s">
        <v>187</v>
      </c>
      <c r="U12" s="45" t="s">
        <v>327</v>
      </c>
    </row>
    <row r="13" spans="1:21" x14ac:dyDescent="0.35">
      <c r="B13" s="50" t="s">
        <v>393</v>
      </c>
      <c r="C13" t="s">
        <v>392</v>
      </c>
      <c r="D13" s="50">
        <v>12</v>
      </c>
      <c r="E13" s="50" t="s">
        <v>484</v>
      </c>
      <c r="F13" s="50" t="s">
        <v>143</v>
      </c>
      <c r="G13" s="50" t="s">
        <v>489</v>
      </c>
      <c r="R13" t="s">
        <v>234</v>
      </c>
    </row>
    <row r="14" spans="1:21" x14ac:dyDescent="0.35">
      <c r="B14" s="50">
        <v>11036</v>
      </c>
      <c r="C14" t="s">
        <v>394</v>
      </c>
      <c r="D14" s="50">
        <v>12</v>
      </c>
      <c r="E14" s="50" t="s">
        <v>484</v>
      </c>
      <c r="F14" s="50" t="s">
        <v>189</v>
      </c>
      <c r="G14" s="50" t="s">
        <v>489</v>
      </c>
      <c r="R14" t="s">
        <v>395</v>
      </c>
    </row>
    <row r="15" spans="1:21" x14ac:dyDescent="0.35">
      <c r="B15" s="50" t="s">
        <v>396</v>
      </c>
      <c r="C15" t="s">
        <v>394</v>
      </c>
      <c r="D15" s="50">
        <v>12</v>
      </c>
      <c r="E15" s="50" t="s">
        <v>484</v>
      </c>
      <c r="F15" s="50" t="s">
        <v>189</v>
      </c>
      <c r="G15" s="50" t="s">
        <v>489</v>
      </c>
      <c r="R15" t="s">
        <v>397</v>
      </c>
    </row>
    <row r="16" spans="1:21" x14ac:dyDescent="0.35">
      <c r="B16" s="50">
        <v>11037</v>
      </c>
      <c r="C16" t="s">
        <v>398</v>
      </c>
      <c r="D16" s="50">
        <v>30</v>
      </c>
      <c r="E16" s="50" t="s">
        <v>351</v>
      </c>
      <c r="F16" s="50" t="s">
        <v>138</v>
      </c>
      <c r="G16" s="50" t="s">
        <v>489</v>
      </c>
      <c r="R16" t="s">
        <v>399</v>
      </c>
    </row>
    <row r="17" spans="1:18" x14ac:dyDescent="0.35">
      <c r="B17" s="50">
        <v>11037</v>
      </c>
      <c r="C17" t="s">
        <v>400</v>
      </c>
      <c r="D17" s="50">
        <v>30</v>
      </c>
      <c r="E17" s="50" t="s">
        <v>351</v>
      </c>
      <c r="F17" s="50" t="s">
        <v>138</v>
      </c>
      <c r="G17" s="50" t="s">
        <v>489</v>
      </c>
      <c r="R17" t="s">
        <v>401</v>
      </c>
    </row>
    <row r="18" spans="1:18" x14ac:dyDescent="0.35">
      <c r="B18" s="50">
        <v>11038</v>
      </c>
      <c r="C18" t="s">
        <v>402</v>
      </c>
      <c r="D18" s="50">
        <v>15</v>
      </c>
      <c r="E18" s="50" t="s">
        <v>273</v>
      </c>
      <c r="F18" s="50" t="s">
        <v>138</v>
      </c>
      <c r="G18" s="50" t="s">
        <v>489</v>
      </c>
      <c r="R18" t="s">
        <v>403</v>
      </c>
    </row>
    <row r="19" spans="1:18" x14ac:dyDescent="0.35">
      <c r="B19" s="50">
        <v>11041</v>
      </c>
      <c r="C19" t="s">
        <v>404</v>
      </c>
      <c r="D19" s="50">
        <v>30</v>
      </c>
      <c r="E19" s="50" t="s">
        <v>273</v>
      </c>
      <c r="F19" s="50" t="s">
        <v>143</v>
      </c>
      <c r="G19" s="50" t="s">
        <v>274</v>
      </c>
      <c r="I19" s="50" t="s">
        <v>490</v>
      </c>
      <c r="R19" t="s">
        <v>324</v>
      </c>
    </row>
    <row r="20" spans="1:18" x14ac:dyDescent="0.35">
      <c r="A20" s="50">
        <v>40757</v>
      </c>
      <c r="B20" s="50">
        <v>11050</v>
      </c>
      <c r="C20" t="s">
        <v>405</v>
      </c>
      <c r="D20" s="50">
        <v>12</v>
      </c>
      <c r="E20" s="50" t="s">
        <v>484</v>
      </c>
      <c r="F20" s="50" t="s">
        <v>189</v>
      </c>
      <c r="G20" s="50" t="s">
        <v>489</v>
      </c>
    </row>
    <row r="21" spans="1:18" x14ac:dyDescent="0.35">
      <c r="A21" s="50">
        <v>40733</v>
      </c>
      <c r="B21" s="50">
        <v>11056</v>
      </c>
      <c r="C21" t="s">
        <v>406</v>
      </c>
      <c r="D21" s="50">
        <v>30</v>
      </c>
      <c r="E21" s="50" t="s">
        <v>273</v>
      </c>
      <c r="F21" s="50" t="s">
        <v>138</v>
      </c>
      <c r="G21" s="50" t="s">
        <v>274</v>
      </c>
    </row>
    <row r="22" spans="1:18" x14ac:dyDescent="0.35">
      <c r="A22" s="50">
        <v>40735</v>
      </c>
      <c r="B22" s="50">
        <v>11057</v>
      </c>
      <c r="C22" t="s">
        <v>407</v>
      </c>
      <c r="D22" s="50">
        <v>30</v>
      </c>
      <c r="E22" s="50" t="s">
        <v>273</v>
      </c>
      <c r="F22" s="50" t="s">
        <v>189</v>
      </c>
      <c r="G22" s="50" t="s">
        <v>274</v>
      </c>
    </row>
    <row r="23" spans="1:18" x14ac:dyDescent="0.35">
      <c r="A23" s="50">
        <v>40738</v>
      </c>
      <c r="B23" s="50">
        <v>11058</v>
      </c>
      <c r="C23" t="s">
        <v>408</v>
      </c>
      <c r="D23" s="50">
        <v>30</v>
      </c>
      <c r="E23" s="50" t="s">
        <v>273</v>
      </c>
      <c r="F23" s="50" t="s">
        <v>201</v>
      </c>
      <c r="G23" s="50" t="s">
        <v>274</v>
      </c>
    </row>
    <row r="24" spans="1:18" x14ac:dyDescent="0.35">
      <c r="B24" s="50">
        <v>11060</v>
      </c>
      <c r="C24" t="s">
        <v>409</v>
      </c>
      <c r="D24" s="50">
        <v>6</v>
      </c>
      <c r="E24" s="50" t="s">
        <v>484</v>
      </c>
      <c r="F24" s="50" t="s">
        <v>138</v>
      </c>
      <c r="G24" s="50" t="s">
        <v>489</v>
      </c>
    </row>
    <row r="25" spans="1:18" x14ac:dyDescent="0.35">
      <c r="B25" s="50">
        <v>11061</v>
      </c>
      <c r="C25" t="s">
        <v>410</v>
      </c>
      <c r="D25" s="50">
        <v>12</v>
      </c>
      <c r="E25" s="50" t="s">
        <v>484</v>
      </c>
      <c r="F25" s="50" t="s">
        <v>138</v>
      </c>
      <c r="G25" s="50" t="s">
        <v>489</v>
      </c>
    </row>
    <row r="26" spans="1:18" x14ac:dyDescent="0.35">
      <c r="A26" s="50">
        <v>40755</v>
      </c>
      <c r="B26" s="50">
        <v>11063</v>
      </c>
      <c r="C26" t="s">
        <v>411</v>
      </c>
      <c r="D26" s="50">
        <v>30</v>
      </c>
      <c r="E26" s="50" t="s">
        <v>273</v>
      </c>
      <c r="F26" s="50" t="s">
        <v>138</v>
      </c>
      <c r="G26" s="50" t="s">
        <v>489</v>
      </c>
    </row>
    <row r="27" spans="1:18" x14ac:dyDescent="0.35">
      <c r="A27" s="50">
        <v>40724</v>
      </c>
      <c r="B27" s="50">
        <v>11082</v>
      </c>
      <c r="C27" t="s">
        <v>412</v>
      </c>
      <c r="D27" s="50">
        <v>1</v>
      </c>
      <c r="E27" s="50" t="s">
        <v>332</v>
      </c>
      <c r="F27" s="50" t="s">
        <v>189</v>
      </c>
      <c r="G27" s="50" t="s">
        <v>489</v>
      </c>
    </row>
    <row r="28" spans="1:18" x14ac:dyDescent="0.35">
      <c r="A28" s="50">
        <v>40725</v>
      </c>
      <c r="B28" s="50">
        <v>11083</v>
      </c>
      <c r="C28" t="s">
        <v>413</v>
      </c>
      <c r="D28" s="50">
        <v>1</v>
      </c>
      <c r="E28" s="50" t="s">
        <v>332</v>
      </c>
      <c r="F28" s="50" t="s">
        <v>138</v>
      </c>
      <c r="G28" s="50" t="s">
        <v>489</v>
      </c>
    </row>
    <row r="29" spans="1:18" x14ac:dyDescent="0.35">
      <c r="A29" s="50">
        <v>40761</v>
      </c>
      <c r="B29" s="50">
        <v>11307</v>
      </c>
      <c r="C29" t="s">
        <v>414</v>
      </c>
      <c r="D29" s="50">
        <v>30</v>
      </c>
      <c r="E29" s="50" t="s">
        <v>273</v>
      </c>
      <c r="F29" s="50" t="s">
        <v>189</v>
      </c>
      <c r="G29" s="50" t="s">
        <v>489</v>
      </c>
    </row>
    <row r="30" spans="1:18" x14ac:dyDescent="0.35">
      <c r="A30" s="50">
        <v>40754</v>
      </c>
      <c r="B30" s="50">
        <v>11308</v>
      </c>
      <c r="C30" t="s">
        <v>415</v>
      </c>
      <c r="D30" s="50">
        <v>30</v>
      </c>
      <c r="E30" s="50" t="s">
        <v>273</v>
      </c>
      <c r="F30" s="50" t="s">
        <v>201</v>
      </c>
      <c r="G30" s="50" t="s">
        <v>489</v>
      </c>
    </row>
    <row r="31" spans="1:18" x14ac:dyDescent="0.35">
      <c r="A31" s="50">
        <v>40739</v>
      </c>
      <c r="B31" s="50">
        <v>11477</v>
      </c>
      <c r="C31" t="s">
        <v>416</v>
      </c>
      <c r="D31" s="50">
        <v>30</v>
      </c>
      <c r="E31" s="50" t="s">
        <v>273</v>
      </c>
      <c r="F31" s="50" t="s">
        <v>138</v>
      </c>
      <c r="G31" s="50" t="s">
        <v>489</v>
      </c>
    </row>
    <row r="32" spans="1:18" x14ac:dyDescent="0.35">
      <c r="B32" s="50">
        <v>11482</v>
      </c>
      <c r="C32" t="s">
        <v>417</v>
      </c>
      <c r="D32" s="50">
        <v>30</v>
      </c>
      <c r="E32" s="50" t="s">
        <v>273</v>
      </c>
      <c r="F32" s="50" t="s">
        <v>138</v>
      </c>
      <c r="G32" s="50" t="s">
        <v>274</v>
      </c>
    </row>
    <row r="33" spans="1:7" x14ac:dyDescent="0.35">
      <c r="B33" s="50">
        <v>11897</v>
      </c>
      <c r="C33" t="s">
        <v>418</v>
      </c>
      <c r="D33" s="50">
        <v>30</v>
      </c>
      <c r="E33" s="50" t="s">
        <v>273</v>
      </c>
      <c r="F33" s="50" t="s">
        <v>143</v>
      </c>
      <c r="G33" s="50" t="s">
        <v>489</v>
      </c>
    </row>
    <row r="34" spans="1:7" x14ac:dyDescent="0.35">
      <c r="B34" s="50">
        <v>11898</v>
      </c>
      <c r="C34" t="s">
        <v>419</v>
      </c>
      <c r="D34" s="50">
        <v>30</v>
      </c>
      <c r="E34" s="50" t="s">
        <v>273</v>
      </c>
      <c r="F34" s="50" t="s">
        <v>189</v>
      </c>
      <c r="G34" s="50" t="s">
        <v>489</v>
      </c>
    </row>
    <row r="35" spans="1:7" x14ac:dyDescent="0.35">
      <c r="B35" s="50">
        <v>11899</v>
      </c>
      <c r="C35" t="s">
        <v>420</v>
      </c>
      <c r="D35" s="50">
        <v>30</v>
      </c>
      <c r="E35" s="50" t="s">
        <v>273</v>
      </c>
      <c r="F35" s="50" t="s">
        <v>201</v>
      </c>
      <c r="G35" s="50" t="s">
        <v>489</v>
      </c>
    </row>
    <row r="36" spans="1:7" x14ac:dyDescent="0.35">
      <c r="A36" s="50">
        <v>40765</v>
      </c>
      <c r="B36" s="50">
        <v>11900</v>
      </c>
      <c r="C36" t="s">
        <v>421</v>
      </c>
      <c r="D36" s="50">
        <v>12</v>
      </c>
      <c r="E36" s="50" t="s">
        <v>484</v>
      </c>
      <c r="F36" s="50" t="s">
        <v>189</v>
      </c>
      <c r="G36" s="50" t="s">
        <v>489</v>
      </c>
    </row>
    <row r="37" spans="1:7" x14ac:dyDescent="0.35">
      <c r="B37" s="50">
        <v>11901</v>
      </c>
      <c r="C37" t="s">
        <v>422</v>
      </c>
      <c r="D37" s="50">
        <v>12</v>
      </c>
      <c r="E37" s="50" t="s">
        <v>484</v>
      </c>
      <c r="F37" s="50" t="s">
        <v>138</v>
      </c>
      <c r="G37" s="50" t="s">
        <v>489</v>
      </c>
    </row>
    <row r="38" spans="1:7" x14ac:dyDescent="0.35">
      <c r="B38" s="50">
        <v>11902</v>
      </c>
      <c r="C38" t="s">
        <v>423</v>
      </c>
      <c r="D38" s="50">
        <v>6</v>
      </c>
      <c r="E38" s="50" t="s">
        <v>484</v>
      </c>
      <c r="F38" s="50" t="s">
        <v>189</v>
      </c>
      <c r="G38" s="50" t="s">
        <v>489</v>
      </c>
    </row>
    <row r="39" spans="1:7" x14ac:dyDescent="0.35">
      <c r="B39" s="50">
        <v>11903</v>
      </c>
      <c r="C39" t="s">
        <v>424</v>
      </c>
      <c r="D39" s="50">
        <v>6</v>
      </c>
      <c r="E39" s="50" t="s">
        <v>484</v>
      </c>
      <c r="F39" s="50" t="s">
        <v>138</v>
      </c>
      <c r="G39" s="50" t="s">
        <v>489</v>
      </c>
    </row>
    <row r="40" spans="1:7" x14ac:dyDescent="0.35">
      <c r="A40" s="50">
        <v>40726</v>
      </c>
      <c r="B40" s="50">
        <v>11081</v>
      </c>
      <c r="C40" t="s">
        <v>425</v>
      </c>
      <c r="D40" s="50">
        <v>1</v>
      </c>
      <c r="E40" s="50" t="s">
        <v>332</v>
      </c>
      <c r="F40" s="50" t="s">
        <v>187</v>
      </c>
      <c r="G40" s="50" t="s">
        <v>489</v>
      </c>
    </row>
    <row r="41" spans="1:7" x14ac:dyDescent="0.35">
      <c r="B41" s="50">
        <v>11089</v>
      </c>
      <c r="C41" t="s">
        <v>426</v>
      </c>
      <c r="D41" s="50">
        <v>30</v>
      </c>
      <c r="E41" s="50" t="s">
        <v>273</v>
      </c>
      <c r="F41" s="50" t="s">
        <v>187</v>
      </c>
      <c r="G41" s="50" t="s">
        <v>489</v>
      </c>
    </row>
    <row r="42" spans="1:7" x14ac:dyDescent="0.35">
      <c r="A42" s="50">
        <v>40727</v>
      </c>
      <c r="B42" s="50">
        <v>11896</v>
      </c>
      <c r="C42" t="s">
        <v>427</v>
      </c>
      <c r="D42" s="50">
        <v>1</v>
      </c>
      <c r="E42" s="50" t="s">
        <v>332</v>
      </c>
      <c r="F42" s="50" t="s">
        <v>201</v>
      </c>
      <c r="G42" s="50" t="s">
        <v>489</v>
      </c>
    </row>
    <row r="43" spans="1:7" x14ac:dyDescent="0.35">
      <c r="B43" s="50">
        <v>49200009</v>
      </c>
      <c r="C43" t="s">
        <v>428</v>
      </c>
      <c r="D43" s="50">
        <v>30</v>
      </c>
      <c r="E43" s="50" t="s">
        <v>273</v>
      </c>
      <c r="F43" s="50" t="s">
        <v>189</v>
      </c>
      <c r="G43" s="50" t="s">
        <v>489</v>
      </c>
    </row>
    <row r="44" spans="1:7" x14ac:dyDescent="0.35">
      <c r="B44" s="50">
        <v>49200010</v>
      </c>
      <c r="C44" t="s">
        <v>429</v>
      </c>
      <c r="D44" s="50">
        <v>30</v>
      </c>
      <c r="E44" s="50" t="s">
        <v>273</v>
      </c>
      <c r="F44" s="50" t="s">
        <v>143</v>
      </c>
      <c r="G44" s="50" t="s">
        <v>489</v>
      </c>
    </row>
    <row r="45" spans="1:7" x14ac:dyDescent="0.35">
      <c r="B45" s="50">
        <v>49200012</v>
      </c>
      <c r="C45" t="s">
        <v>430</v>
      </c>
      <c r="D45" s="50">
        <v>30</v>
      </c>
      <c r="E45" s="50" t="s">
        <v>273</v>
      </c>
      <c r="F45" s="50" t="s">
        <v>187</v>
      </c>
      <c r="G45" s="50" t="s">
        <v>489</v>
      </c>
    </row>
    <row r="46" spans="1:7" x14ac:dyDescent="0.35">
      <c r="A46" s="50">
        <v>40761</v>
      </c>
      <c r="B46" s="50">
        <v>49200018</v>
      </c>
      <c r="C46" t="s">
        <v>414</v>
      </c>
      <c r="D46" s="50">
        <v>30</v>
      </c>
      <c r="E46" s="50" t="s">
        <v>273</v>
      </c>
      <c r="F46" s="50" t="s">
        <v>189</v>
      </c>
      <c r="G46" s="50" t="s">
        <v>489</v>
      </c>
    </row>
    <row r="47" spans="1:7" x14ac:dyDescent="0.35">
      <c r="B47" s="50">
        <v>49200019</v>
      </c>
      <c r="C47" t="s">
        <v>384</v>
      </c>
      <c r="D47" s="50">
        <v>30</v>
      </c>
      <c r="E47" s="50" t="s">
        <v>273</v>
      </c>
      <c r="F47" s="50" t="s">
        <v>143</v>
      </c>
      <c r="G47" s="50" t="s">
        <v>489</v>
      </c>
    </row>
    <row r="48" spans="1:7" x14ac:dyDescent="0.35">
      <c r="A48" s="50">
        <v>40729</v>
      </c>
      <c r="B48" s="50">
        <v>11004</v>
      </c>
      <c r="C48" t="s">
        <v>431</v>
      </c>
      <c r="D48" s="50">
        <v>1</v>
      </c>
      <c r="E48" s="50" t="s">
        <v>332</v>
      </c>
      <c r="F48" s="50" t="s">
        <v>333</v>
      </c>
      <c r="G48" s="50" t="s">
        <v>489</v>
      </c>
    </row>
    <row r="49" spans="1:7" x14ac:dyDescent="0.35">
      <c r="B49" s="50">
        <v>11005</v>
      </c>
      <c r="C49" t="s">
        <v>432</v>
      </c>
      <c r="D49" s="50">
        <v>1</v>
      </c>
      <c r="E49" s="50" t="s">
        <v>332</v>
      </c>
      <c r="F49" s="50" t="s">
        <v>333</v>
      </c>
      <c r="G49" s="50" t="s">
        <v>489</v>
      </c>
    </row>
    <row r="50" spans="1:7" x14ac:dyDescent="0.35">
      <c r="B50" s="50" t="s">
        <v>513</v>
      </c>
      <c r="C50" t="s">
        <v>432</v>
      </c>
      <c r="D50" s="50">
        <v>1</v>
      </c>
      <c r="E50" s="50" t="s">
        <v>332</v>
      </c>
      <c r="F50" s="50" t="s">
        <v>333</v>
      </c>
      <c r="G50" s="50" t="s">
        <v>489</v>
      </c>
    </row>
    <row r="51" spans="1:7" x14ac:dyDescent="0.35">
      <c r="A51" s="50">
        <v>40728</v>
      </c>
      <c r="B51" s="50">
        <v>11033</v>
      </c>
      <c r="C51" t="s">
        <v>427</v>
      </c>
      <c r="D51" s="50">
        <v>1</v>
      </c>
      <c r="E51" s="50" t="s">
        <v>332</v>
      </c>
      <c r="F51" s="50" t="s">
        <v>201</v>
      </c>
      <c r="G51" s="50" t="s">
        <v>489</v>
      </c>
    </row>
    <row r="52" spans="1:7" x14ac:dyDescent="0.35">
      <c r="B52" s="50" t="s">
        <v>514</v>
      </c>
      <c r="C52" t="s">
        <v>433</v>
      </c>
      <c r="D52" s="50">
        <v>1</v>
      </c>
      <c r="E52" s="50" t="s">
        <v>273</v>
      </c>
      <c r="F52" s="50" t="s">
        <v>203</v>
      </c>
      <c r="G52" s="50" t="s">
        <v>489</v>
      </c>
    </row>
    <row r="53" spans="1:7" x14ac:dyDescent="0.35">
      <c r="A53" s="50">
        <v>40757</v>
      </c>
      <c r="B53" s="50" t="s">
        <v>515</v>
      </c>
      <c r="C53" t="s">
        <v>405</v>
      </c>
      <c r="D53" s="50">
        <v>12</v>
      </c>
      <c r="E53" s="50" t="s">
        <v>273</v>
      </c>
      <c r="F53" s="50" t="s">
        <v>189</v>
      </c>
      <c r="G53" s="50" t="s">
        <v>489</v>
      </c>
    </row>
    <row r="54" spans="1:7" x14ac:dyDescent="0.35">
      <c r="B54" s="50" t="s">
        <v>470</v>
      </c>
      <c r="C54" t="s">
        <v>434</v>
      </c>
      <c r="D54" s="50">
        <v>1</v>
      </c>
      <c r="E54" s="50" t="s">
        <v>273</v>
      </c>
      <c r="F54" s="50" t="s">
        <v>143</v>
      </c>
      <c r="G54" s="50" t="s">
        <v>489</v>
      </c>
    </row>
    <row r="55" spans="1:7" x14ac:dyDescent="0.35">
      <c r="B55" s="50" t="s">
        <v>516</v>
      </c>
      <c r="C55" t="s">
        <v>435</v>
      </c>
      <c r="D55" s="50">
        <v>1</v>
      </c>
      <c r="E55" s="50" t="s">
        <v>273</v>
      </c>
      <c r="F55" s="50" t="s">
        <v>187</v>
      </c>
      <c r="G55" s="50" t="s">
        <v>489</v>
      </c>
    </row>
    <row r="56" spans="1:7" x14ac:dyDescent="0.35">
      <c r="B56" s="50" t="s">
        <v>468</v>
      </c>
      <c r="C56" t="s">
        <v>436</v>
      </c>
      <c r="D56" s="50">
        <v>1</v>
      </c>
      <c r="E56" s="50" t="s">
        <v>273</v>
      </c>
      <c r="F56" s="50" t="s">
        <v>189</v>
      </c>
      <c r="G56" s="50" t="s">
        <v>489</v>
      </c>
    </row>
    <row r="57" spans="1:7" x14ac:dyDescent="0.35">
      <c r="B57" s="50" t="s">
        <v>474</v>
      </c>
      <c r="C57" t="s">
        <v>437</v>
      </c>
      <c r="D57" s="50">
        <v>1</v>
      </c>
      <c r="E57" s="50" t="s">
        <v>273</v>
      </c>
      <c r="F57" s="50" t="s">
        <v>138</v>
      </c>
      <c r="G57" s="50" t="s">
        <v>489</v>
      </c>
    </row>
    <row r="58" spans="1:7" x14ac:dyDescent="0.35">
      <c r="B58" s="50" t="s">
        <v>472</v>
      </c>
      <c r="C58" t="s">
        <v>438</v>
      </c>
      <c r="D58" s="50">
        <v>1</v>
      </c>
      <c r="E58" s="50" t="s">
        <v>273</v>
      </c>
      <c r="F58" s="50" t="s">
        <v>201</v>
      </c>
      <c r="G58" s="50" t="s">
        <v>489</v>
      </c>
    </row>
    <row r="59" spans="1:7" x14ac:dyDescent="0.35">
      <c r="B59" s="50">
        <v>11018</v>
      </c>
      <c r="C59" t="s">
        <v>439</v>
      </c>
      <c r="D59" s="50">
        <v>30</v>
      </c>
      <c r="E59" s="50" t="s">
        <v>273</v>
      </c>
      <c r="F59" s="50" t="s">
        <v>189</v>
      </c>
      <c r="G59" s="50" t="s">
        <v>274</v>
      </c>
    </row>
    <row r="60" spans="1:7" x14ac:dyDescent="0.35">
      <c r="B60" s="50">
        <v>11867</v>
      </c>
      <c r="C60" t="s">
        <v>440</v>
      </c>
      <c r="D60" s="50">
        <v>30</v>
      </c>
      <c r="E60" s="50" t="s">
        <v>273</v>
      </c>
      <c r="F60" s="50" t="s">
        <v>138</v>
      </c>
      <c r="G60" s="50" t="s">
        <v>274</v>
      </c>
    </row>
    <row r="61" spans="1:7" x14ac:dyDescent="0.35">
      <c r="B61" s="50">
        <v>11871</v>
      </c>
      <c r="C61" t="s">
        <v>441</v>
      </c>
      <c r="D61" s="50">
        <v>12</v>
      </c>
      <c r="E61" s="50" t="s">
        <v>484</v>
      </c>
      <c r="F61" s="50" t="s">
        <v>189</v>
      </c>
      <c r="G61" s="50" t="s">
        <v>274</v>
      </c>
    </row>
    <row r="62" spans="1:7" x14ac:dyDescent="0.35">
      <c r="B62" s="50">
        <v>22003</v>
      </c>
      <c r="C62" t="s">
        <v>442</v>
      </c>
      <c r="E62" s="50" t="s">
        <v>485</v>
      </c>
      <c r="F62" s="50" t="s">
        <v>491</v>
      </c>
      <c r="G62" s="50" t="s">
        <v>489</v>
      </c>
    </row>
    <row r="63" spans="1:7" x14ac:dyDescent="0.35">
      <c r="B63" s="50">
        <v>22004</v>
      </c>
      <c r="C63" t="s">
        <v>443</v>
      </c>
      <c r="E63" s="50" t="s">
        <v>485</v>
      </c>
      <c r="F63" s="50" t="s">
        <v>491</v>
      </c>
      <c r="G63" s="50" t="s">
        <v>489</v>
      </c>
    </row>
    <row r="64" spans="1:7" x14ac:dyDescent="0.35">
      <c r="B64" s="50">
        <v>22114</v>
      </c>
      <c r="C64" t="s">
        <v>444</v>
      </c>
      <c r="E64" s="50" t="s">
        <v>485</v>
      </c>
      <c r="F64" s="50" t="s">
        <v>491</v>
      </c>
      <c r="G64" s="50" t="s">
        <v>489</v>
      </c>
    </row>
    <row r="65" spans="2:11" x14ac:dyDescent="0.35">
      <c r="B65" s="50">
        <v>22116</v>
      </c>
      <c r="C65" t="s">
        <v>445</v>
      </c>
      <c r="E65" s="50" t="s">
        <v>485</v>
      </c>
      <c r="F65" s="50" t="s">
        <v>491</v>
      </c>
      <c r="G65" s="50" t="s">
        <v>489</v>
      </c>
    </row>
    <row r="66" spans="2:11" x14ac:dyDescent="0.35">
      <c r="B66" s="50">
        <v>22162</v>
      </c>
      <c r="C66" t="s">
        <v>446</v>
      </c>
      <c r="E66" s="50" t="s">
        <v>485</v>
      </c>
      <c r="F66" s="50" t="s">
        <v>491</v>
      </c>
      <c r="G66" s="50" t="s">
        <v>489</v>
      </c>
    </row>
    <row r="67" spans="2:11" x14ac:dyDescent="0.35">
      <c r="B67" s="50">
        <v>22184</v>
      </c>
      <c r="C67" t="s">
        <v>447</v>
      </c>
      <c r="E67" s="50" t="s">
        <v>485</v>
      </c>
      <c r="F67" s="50" t="s">
        <v>491</v>
      </c>
      <c r="G67" s="50" t="s">
        <v>489</v>
      </c>
    </row>
    <row r="68" spans="2:11" x14ac:dyDescent="0.35">
      <c r="B68" s="50">
        <v>22193</v>
      </c>
      <c r="C68" t="s">
        <v>448</v>
      </c>
      <c r="E68" s="50" t="s">
        <v>485</v>
      </c>
      <c r="F68" s="50" t="s">
        <v>491</v>
      </c>
      <c r="G68" s="50" t="s">
        <v>489</v>
      </c>
    </row>
    <row r="69" spans="2:11" x14ac:dyDescent="0.35">
      <c r="B69" s="50">
        <v>22600</v>
      </c>
      <c r="C69" t="s">
        <v>449</v>
      </c>
      <c r="D69" s="50">
        <v>30</v>
      </c>
      <c r="E69" s="50" t="s">
        <v>485</v>
      </c>
      <c r="F69" s="50" t="s">
        <v>491</v>
      </c>
      <c r="G69" s="50" t="s">
        <v>489</v>
      </c>
    </row>
    <row r="70" spans="2:11" x14ac:dyDescent="0.35">
      <c r="B70" s="50">
        <v>22601</v>
      </c>
      <c r="C70" t="s">
        <v>450</v>
      </c>
      <c r="D70" s="50">
        <v>30</v>
      </c>
      <c r="E70" s="50" t="s">
        <v>485</v>
      </c>
      <c r="F70" s="50" t="s">
        <v>491</v>
      </c>
      <c r="G70" s="50" t="s">
        <v>489</v>
      </c>
    </row>
    <row r="71" spans="2:11" x14ac:dyDescent="0.35">
      <c r="B71" s="50">
        <v>22632</v>
      </c>
      <c r="C71" t="s">
        <v>451</v>
      </c>
      <c r="E71" s="50" t="s">
        <v>485</v>
      </c>
      <c r="F71" s="50" t="s">
        <v>491</v>
      </c>
      <c r="G71" s="50" t="s">
        <v>489</v>
      </c>
    </row>
    <row r="72" spans="2:11" x14ac:dyDescent="0.35">
      <c r="B72" s="50">
        <v>22849</v>
      </c>
      <c r="C72" t="s">
        <v>452</v>
      </c>
      <c r="E72" s="50" t="s">
        <v>485</v>
      </c>
      <c r="F72" s="50" t="s">
        <v>491</v>
      </c>
      <c r="G72" s="50" t="s">
        <v>489</v>
      </c>
    </row>
    <row r="73" spans="2:11" x14ac:dyDescent="0.35">
      <c r="B73" s="50">
        <v>22850</v>
      </c>
      <c r="C73" t="s">
        <v>453</v>
      </c>
      <c r="D73" s="50">
        <v>20</v>
      </c>
      <c r="E73" s="50" t="s">
        <v>485</v>
      </c>
      <c r="F73" s="50" t="s">
        <v>491</v>
      </c>
      <c r="G73" s="50" t="s">
        <v>489</v>
      </c>
    </row>
    <row r="74" spans="2:11" x14ac:dyDescent="0.35">
      <c r="B74" s="50">
        <v>22853</v>
      </c>
      <c r="C74" t="s">
        <v>454</v>
      </c>
      <c r="D74" s="50">
        <v>19</v>
      </c>
      <c r="E74" s="50" t="s">
        <v>485</v>
      </c>
      <c r="F74" s="50" t="s">
        <v>491</v>
      </c>
      <c r="G74" s="50" t="s">
        <v>489</v>
      </c>
    </row>
    <row r="75" spans="2:11" x14ac:dyDescent="0.35">
      <c r="B75" s="50">
        <v>22854</v>
      </c>
      <c r="C75" t="s">
        <v>455</v>
      </c>
      <c r="D75" s="50">
        <v>19</v>
      </c>
      <c r="E75" s="50" t="s">
        <v>485</v>
      </c>
      <c r="F75" s="50" t="s">
        <v>491</v>
      </c>
      <c r="G75" s="50" t="s">
        <v>489</v>
      </c>
    </row>
    <row r="76" spans="2:11" x14ac:dyDescent="0.35">
      <c r="B76" s="50">
        <v>22855</v>
      </c>
      <c r="C76" t="s">
        <v>456</v>
      </c>
      <c r="E76" s="50" t="s">
        <v>485</v>
      </c>
      <c r="F76" s="50" t="s">
        <v>491</v>
      </c>
      <c r="G76" s="50" t="s">
        <v>489</v>
      </c>
    </row>
    <row r="77" spans="2:11" x14ac:dyDescent="0.35">
      <c r="B77" s="50">
        <v>11006</v>
      </c>
      <c r="C77" t="s">
        <v>457</v>
      </c>
      <c r="D77" s="50">
        <v>1</v>
      </c>
      <c r="E77" s="50" t="s">
        <v>332</v>
      </c>
      <c r="F77" s="50" t="s">
        <v>491</v>
      </c>
      <c r="G77" s="50" t="s">
        <v>489</v>
      </c>
    </row>
    <row r="78" spans="2:11" x14ac:dyDescent="0.35">
      <c r="B78" s="50">
        <v>11086</v>
      </c>
      <c r="C78" t="s">
        <v>458</v>
      </c>
      <c r="D78" s="50">
        <v>15</v>
      </c>
      <c r="E78" s="50" t="s">
        <v>273</v>
      </c>
      <c r="F78" s="50" t="s">
        <v>189</v>
      </c>
      <c r="G78" s="50" t="s">
        <v>489</v>
      </c>
    </row>
    <row r="79" spans="2:11" x14ac:dyDescent="0.35">
      <c r="B79" s="50">
        <v>11911</v>
      </c>
      <c r="C79" t="s">
        <v>459</v>
      </c>
      <c r="D79" s="50">
        <v>30</v>
      </c>
      <c r="E79" s="50" t="s">
        <v>332</v>
      </c>
      <c r="F79" s="50" t="s">
        <v>138</v>
      </c>
      <c r="G79" s="50" t="s">
        <v>489</v>
      </c>
      <c r="K79" s="53" t="s">
        <v>486</v>
      </c>
    </row>
    <row r="80" spans="2:11" x14ac:dyDescent="0.35">
      <c r="B80" s="50">
        <v>11912</v>
      </c>
      <c r="C80" t="s">
        <v>460</v>
      </c>
      <c r="D80" s="50">
        <v>30</v>
      </c>
      <c r="E80" s="50" t="s">
        <v>332</v>
      </c>
      <c r="F80" s="50" t="s">
        <v>201</v>
      </c>
      <c r="G80" s="50" t="s">
        <v>489</v>
      </c>
      <c r="K80" s="53" t="s">
        <v>486</v>
      </c>
    </row>
    <row r="81" spans="1:7" x14ac:dyDescent="0.35">
      <c r="B81" s="50">
        <v>14052</v>
      </c>
      <c r="C81" t="s">
        <v>461</v>
      </c>
      <c r="E81" s="50" t="s">
        <v>485</v>
      </c>
      <c r="F81" s="50" t="s">
        <v>491</v>
      </c>
      <c r="G81" s="50" t="s">
        <v>489</v>
      </c>
    </row>
    <row r="82" spans="1:7" x14ac:dyDescent="0.35">
      <c r="B82" s="50">
        <v>22852</v>
      </c>
      <c r="C82" t="s">
        <v>462</v>
      </c>
      <c r="D82" s="50">
        <v>20</v>
      </c>
      <c r="E82" s="50" t="s">
        <v>485</v>
      </c>
      <c r="F82" s="50" t="s">
        <v>491</v>
      </c>
      <c r="G82" s="50" t="s">
        <v>489</v>
      </c>
    </row>
    <row r="83" spans="1:7" x14ac:dyDescent="0.35">
      <c r="B83" s="50">
        <v>49200011</v>
      </c>
      <c r="C83" t="s">
        <v>463</v>
      </c>
      <c r="D83" s="50">
        <v>30</v>
      </c>
      <c r="E83" s="50" t="s">
        <v>273</v>
      </c>
      <c r="F83" s="50" t="s">
        <v>201</v>
      </c>
      <c r="G83" s="50" t="s">
        <v>489</v>
      </c>
    </row>
    <row r="84" spans="1:7" x14ac:dyDescent="0.35">
      <c r="B84" s="50">
        <v>11904</v>
      </c>
      <c r="C84" t="s">
        <v>464</v>
      </c>
      <c r="D84" s="50">
        <v>30</v>
      </c>
      <c r="E84" s="50" t="s">
        <v>273</v>
      </c>
      <c r="F84" s="50" t="s">
        <v>203</v>
      </c>
      <c r="G84" s="50" t="s">
        <v>489</v>
      </c>
    </row>
    <row r="85" spans="1:7" x14ac:dyDescent="0.35">
      <c r="B85" s="50" t="s">
        <v>465</v>
      </c>
      <c r="C85" t="s">
        <v>466</v>
      </c>
      <c r="D85" s="50">
        <v>30</v>
      </c>
      <c r="E85" s="50" t="s">
        <v>273</v>
      </c>
      <c r="F85" s="50" t="s">
        <v>189</v>
      </c>
      <c r="G85" s="50" t="s">
        <v>489</v>
      </c>
    </row>
    <row r="86" spans="1:7" x14ac:dyDescent="0.35">
      <c r="B86" s="50">
        <v>11913</v>
      </c>
      <c r="C86" t="s">
        <v>467</v>
      </c>
      <c r="D86" s="50">
        <v>30</v>
      </c>
      <c r="E86" s="50" t="s">
        <v>351</v>
      </c>
      <c r="F86" s="50" t="s">
        <v>143</v>
      </c>
      <c r="G86" s="50" t="s">
        <v>274</v>
      </c>
    </row>
    <row r="87" spans="1:7" x14ac:dyDescent="0.35">
      <c r="B87" s="50" t="s">
        <v>468</v>
      </c>
      <c r="C87" t="s">
        <v>469</v>
      </c>
      <c r="D87" s="50">
        <v>1</v>
      </c>
      <c r="E87" s="50" t="s">
        <v>273</v>
      </c>
      <c r="F87" s="50" t="s">
        <v>189</v>
      </c>
      <c r="G87" s="50" t="s">
        <v>489</v>
      </c>
    </row>
    <row r="88" spans="1:7" x14ac:dyDescent="0.35">
      <c r="B88" s="50" t="s">
        <v>470</v>
      </c>
      <c r="C88" t="s">
        <v>471</v>
      </c>
      <c r="D88" s="50">
        <v>1</v>
      </c>
      <c r="E88" s="50" t="s">
        <v>273</v>
      </c>
      <c r="F88" s="50" t="s">
        <v>143</v>
      </c>
      <c r="G88" s="50" t="s">
        <v>489</v>
      </c>
    </row>
    <row r="89" spans="1:7" x14ac:dyDescent="0.35">
      <c r="B89" s="50" t="s">
        <v>472</v>
      </c>
      <c r="C89" t="s">
        <v>473</v>
      </c>
      <c r="D89" s="50">
        <v>1</v>
      </c>
      <c r="E89" s="50" t="s">
        <v>273</v>
      </c>
      <c r="F89" s="50" t="s">
        <v>201</v>
      </c>
      <c r="G89" s="50" t="s">
        <v>489</v>
      </c>
    </row>
    <row r="90" spans="1:7" x14ac:dyDescent="0.35">
      <c r="B90" s="50" t="s">
        <v>474</v>
      </c>
      <c r="C90" t="s">
        <v>475</v>
      </c>
      <c r="D90" s="50">
        <v>1</v>
      </c>
      <c r="E90" s="50" t="s">
        <v>273</v>
      </c>
      <c r="F90" s="50" t="s">
        <v>138</v>
      </c>
      <c r="G90" s="50" t="s">
        <v>489</v>
      </c>
    </row>
    <row r="91" spans="1:7" x14ac:dyDescent="0.35">
      <c r="A91" s="50">
        <v>40748</v>
      </c>
      <c r="B91" s="50" t="s">
        <v>476</v>
      </c>
      <c r="C91" t="s">
        <v>477</v>
      </c>
      <c r="D91" s="50">
        <v>30</v>
      </c>
      <c r="E91" s="50" t="s">
        <v>351</v>
      </c>
      <c r="F91" s="50" t="s">
        <v>189</v>
      </c>
      <c r="G91" s="50" t="s">
        <v>489</v>
      </c>
    </row>
    <row r="92" spans="1:7" x14ac:dyDescent="0.35">
      <c r="B92" s="50" t="s">
        <v>478</v>
      </c>
      <c r="C92" t="s">
        <v>479</v>
      </c>
      <c r="D92" s="50">
        <v>12</v>
      </c>
      <c r="E92" s="50" t="s">
        <v>484</v>
      </c>
      <c r="F92" s="50" t="s">
        <v>189</v>
      </c>
      <c r="G92" s="50" t="s">
        <v>489</v>
      </c>
    </row>
    <row r="93" spans="1:7" x14ac:dyDescent="0.35">
      <c r="B93" s="50" t="s">
        <v>480</v>
      </c>
      <c r="C93" t="s">
        <v>481</v>
      </c>
      <c r="D93" s="50">
        <v>12</v>
      </c>
      <c r="E93" s="50" t="s">
        <v>484</v>
      </c>
      <c r="F93" s="50" t="s">
        <v>143</v>
      </c>
      <c r="G93" s="50" t="s">
        <v>489</v>
      </c>
    </row>
    <row r="94" spans="1:7" x14ac:dyDescent="0.35">
      <c r="A94" s="50">
        <v>40755</v>
      </c>
      <c r="B94" s="50" t="s">
        <v>482</v>
      </c>
      <c r="C94" t="s">
        <v>483</v>
      </c>
      <c r="D94" s="50">
        <v>30</v>
      </c>
      <c r="E94" s="50" t="s">
        <v>273</v>
      </c>
      <c r="F94" s="50" t="s">
        <v>138</v>
      </c>
      <c r="G94" s="50" t="s">
        <v>489</v>
      </c>
    </row>
    <row r="95" spans="1:7" x14ac:dyDescent="0.35">
      <c r="B95" s="50">
        <v>11913</v>
      </c>
      <c r="C95" t="s">
        <v>467</v>
      </c>
      <c r="D95" s="50">
        <v>30</v>
      </c>
      <c r="E95" s="50" t="s">
        <v>351</v>
      </c>
      <c r="F95" s="50" t="s">
        <v>143</v>
      </c>
      <c r="G95" s="50" t="s">
        <v>274</v>
      </c>
    </row>
    <row r="96" spans="1:7" x14ac:dyDescent="0.35">
      <c r="B96" s="50">
        <v>22856</v>
      </c>
      <c r="C96" t="s">
        <v>511</v>
      </c>
      <c r="E96" s="50" t="s">
        <v>485</v>
      </c>
      <c r="F96" s="50" t="s">
        <v>491</v>
      </c>
      <c r="G96" s="50" t="s">
        <v>489</v>
      </c>
    </row>
    <row r="97" spans="2:7" x14ac:dyDescent="0.35">
      <c r="B97" s="50" t="s">
        <v>492</v>
      </c>
      <c r="C97" t="s">
        <v>493</v>
      </c>
      <c r="E97" s="50" t="s">
        <v>510</v>
      </c>
      <c r="F97" s="50" t="s">
        <v>510</v>
      </c>
      <c r="G97" s="50" t="s">
        <v>510</v>
      </c>
    </row>
    <row r="98" spans="2:7" x14ac:dyDescent="0.35">
      <c r="B98" s="50">
        <v>44003</v>
      </c>
      <c r="C98" t="s">
        <v>494</v>
      </c>
      <c r="E98" s="50" t="s">
        <v>510</v>
      </c>
      <c r="F98" s="50" t="s">
        <v>510</v>
      </c>
      <c r="G98" s="50" t="s">
        <v>510</v>
      </c>
    </row>
    <row r="99" spans="2:7" x14ac:dyDescent="0.35">
      <c r="B99" s="50" t="s">
        <v>495</v>
      </c>
      <c r="C99" t="s">
        <v>496</v>
      </c>
      <c r="E99" s="50" t="s">
        <v>510</v>
      </c>
      <c r="F99" s="50" t="s">
        <v>510</v>
      </c>
      <c r="G99" s="50" t="s">
        <v>510</v>
      </c>
    </row>
    <row r="100" spans="2:7" x14ac:dyDescent="0.35">
      <c r="B100" s="50">
        <v>1201</v>
      </c>
      <c r="C100" t="s">
        <v>497</v>
      </c>
      <c r="E100" s="50" t="s">
        <v>510</v>
      </c>
      <c r="F100" s="50" t="s">
        <v>510</v>
      </c>
      <c r="G100" s="50" t="s">
        <v>510</v>
      </c>
    </row>
    <row r="101" spans="2:7" x14ac:dyDescent="0.35">
      <c r="B101" s="50" t="s">
        <v>498</v>
      </c>
      <c r="C101" t="s">
        <v>499</v>
      </c>
      <c r="E101" s="50" t="s">
        <v>510</v>
      </c>
      <c r="F101" s="50" t="s">
        <v>510</v>
      </c>
      <c r="G101" s="50" t="s">
        <v>510</v>
      </c>
    </row>
    <row r="102" spans="2:7" x14ac:dyDescent="0.35">
      <c r="B102" s="50">
        <v>44004</v>
      </c>
      <c r="C102" t="s">
        <v>500</v>
      </c>
      <c r="E102" s="50" t="s">
        <v>510</v>
      </c>
      <c r="F102" s="50" t="s">
        <v>510</v>
      </c>
      <c r="G102" s="50" t="s">
        <v>510</v>
      </c>
    </row>
    <row r="103" spans="2:7" x14ac:dyDescent="0.35">
      <c r="B103" s="50">
        <v>44005</v>
      </c>
      <c r="C103" t="s">
        <v>501</v>
      </c>
      <c r="E103" s="50" t="s">
        <v>510</v>
      </c>
      <c r="F103" s="50" t="s">
        <v>510</v>
      </c>
      <c r="G103" s="50" t="s">
        <v>510</v>
      </c>
    </row>
    <row r="104" spans="2:7" x14ac:dyDescent="0.35">
      <c r="B104" s="50" t="s">
        <v>502</v>
      </c>
      <c r="C104" t="s">
        <v>503</v>
      </c>
      <c r="E104" s="50" t="s">
        <v>510</v>
      </c>
      <c r="F104" s="50" t="s">
        <v>510</v>
      </c>
      <c r="G104" s="50" t="s">
        <v>510</v>
      </c>
    </row>
    <row r="105" spans="2:7" x14ac:dyDescent="0.35">
      <c r="B105" s="50">
        <v>250015</v>
      </c>
      <c r="C105" t="s">
        <v>504</v>
      </c>
      <c r="E105" s="50" t="s">
        <v>510</v>
      </c>
      <c r="F105" s="50" t="s">
        <v>510</v>
      </c>
      <c r="G105" s="50" t="s">
        <v>510</v>
      </c>
    </row>
    <row r="106" spans="2:7" x14ac:dyDescent="0.35">
      <c r="B106" s="50" t="s">
        <v>505</v>
      </c>
      <c r="C106" t="s">
        <v>506</v>
      </c>
      <c r="E106" s="50" t="s">
        <v>510</v>
      </c>
      <c r="F106" s="50" t="s">
        <v>510</v>
      </c>
      <c r="G106" s="50" t="s">
        <v>510</v>
      </c>
    </row>
    <row r="107" spans="2:7" x14ac:dyDescent="0.35">
      <c r="B107" s="50" t="s">
        <v>507</v>
      </c>
      <c r="C107" t="s">
        <v>508</v>
      </c>
      <c r="E107" s="50" t="s">
        <v>510</v>
      </c>
      <c r="F107" s="50" t="s">
        <v>510</v>
      </c>
      <c r="G107" s="50" t="s">
        <v>510</v>
      </c>
    </row>
    <row r="108" spans="2:7" x14ac:dyDescent="0.35">
      <c r="B108" s="50">
        <v>1432</v>
      </c>
      <c r="C108" t="s">
        <v>509</v>
      </c>
      <c r="E108" s="50" t="s">
        <v>510</v>
      </c>
      <c r="F108" s="50" t="s">
        <v>510</v>
      </c>
      <c r="G108" s="50" t="s">
        <v>510</v>
      </c>
    </row>
    <row r="109" spans="2:7" x14ac:dyDescent="0.35">
      <c r="B109" s="50">
        <v>11883</v>
      </c>
      <c r="C109" t="s">
        <v>512</v>
      </c>
      <c r="E109" s="50" t="s">
        <v>510</v>
      </c>
      <c r="F109" s="50" t="s">
        <v>510</v>
      </c>
      <c r="G109" s="50" t="s">
        <v>510</v>
      </c>
    </row>
    <row r="110" spans="2:7" x14ac:dyDescent="0.35">
      <c r="B110" s="50">
        <v>11085</v>
      </c>
      <c r="C110" t="s">
        <v>517</v>
      </c>
      <c r="D110" s="50">
        <v>60</v>
      </c>
      <c r="E110" s="50" t="s">
        <v>273</v>
      </c>
      <c r="F110" s="50" t="s">
        <v>189</v>
      </c>
      <c r="G110" s="50" t="s">
        <v>489</v>
      </c>
    </row>
    <row r="111" spans="2:7" x14ac:dyDescent="0.35">
      <c r="B111" s="50" t="s">
        <v>518</v>
      </c>
      <c r="C111" t="s">
        <v>519</v>
      </c>
      <c r="D111" s="50">
        <v>30</v>
      </c>
      <c r="E111" s="50" t="s">
        <v>273</v>
      </c>
      <c r="F111" s="50" t="s">
        <v>143</v>
      </c>
      <c r="G111" s="50" t="s">
        <v>489</v>
      </c>
    </row>
    <row r="112" spans="2:7" x14ac:dyDescent="0.35">
      <c r="B112" s="50" t="s">
        <v>520</v>
      </c>
      <c r="C112" t="s">
        <v>521</v>
      </c>
      <c r="D112" s="50">
        <v>30</v>
      </c>
      <c r="E112" s="50" t="s">
        <v>273</v>
      </c>
      <c r="F112" s="50" t="s">
        <v>201</v>
      </c>
      <c r="G112" s="50" t="s">
        <v>489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9565b4-1168-4837-b59f-c24cc6e3f253">
      <Terms xmlns="http://schemas.microsoft.com/office/infopath/2007/PartnerControls"/>
    </lcf76f155ced4ddcb4097134ff3c332f>
    <TaxCatchAll xmlns="36d118fd-2fbb-4491-8d1e-bd6bbac215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11F97957C51C40B976F64FD3C59833" ma:contentTypeVersion="15" ma:contentTypeDescription="Crear nuevo documento." ma:contentTypeScope="" ma:versionID="390abc25cbf139d677dee9bd8dacc3ef">
  <xsd:schema xmlns:xsd="http://www.w3.org/2001/XMLSchema" xmlns:xs="http://www.w3.org/2001/XMLSchema" xmlns:p="http://schemas.microsoft.com/office/2006/metadata/properties" xmlns:ns2="029565b4-1168-4837-b59f-c24cc6e3f253" xmlns:ns3="36d118fd-2fbb-4491-8d1e-bd6bbac21543" targetNamespace="http://schemas.microsoft.com/office/2006/metadata/properties" ma:root="true" ma:fieldsID="caea56e65542b47ea6fd5f2dce893b7b" ns2:_="" ns3:_="">
    <xsd:import namespace="029565b4-1168-4837-b59f-c24cc6e3f253"/>
    <xsd:import namespace="36d118fd-2fbb-4491-8d1e-bd6bbac215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565b4-1168-4837-b59f-c24cc6e3f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0415620-04ac-4339-8945-41b7dcdac5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118fd-2fbb-4491-8d1e-bd6bbac215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8b08b6-051e-48f8-862f-4eb242b58320}" ma:internalName="TaxCatchAll" ma:showField="CatchAllData" ma:web="36d118fd-2fbb-4491-8d1e-bd6bbac215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75A2FB-D658-406E-95C2-B08821DA2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EBA046-A77E-4635-BFA3-AAECB5552001}">
  <ds:schemaRefs>
    <ds:schemaRef ds:uri="http://schemas.microsoft.com/office/2006/metadata/properties"/>
    <ds:schemaRef ds:uri="http://schemas.microsoft.com/office/infopath/2007/PartnerControls"/>
    <ds:schemaRef ds:uri="0da171de-ebdc-4525-a368-0a35a0f60c23"/>
    <ds:schemaRef ds:uri="ab752a3e-3bdb-4c3e-ad08-f4121e4a7503"/>
    <ds:schemaRef ds:uri="029565b4-1168-4837-b59f-c24cc6e3f253"/>
    <ds:schemaRef ds:uri="36d118fd-2fbb-4491-8d1e-bd6bbac21543"/>
  </ds:schemaRefs>
</ds:datastoreItem>
</file>

<file path=customXml/itemProps3.xml><?xml version="1.0" encoding="utf-8"?>
<ds:datastoreItem xmlns:ds="http://schemas.openxmlformats.org/officeDocument/2006/customXml" ds:itemID="{65BE99D4-2C45-4A49-B5F2-A63C98DAD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565b4-1168-4837-b59f-c24cc6e3f253"/>
    <ds:schemaRef ds:uri="36d118fd-2fbb-4491-8d1e-bd6bbac215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Hoja2 (2)</vt:lpstr>
      <vt:lpstr>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2026-07-02T19:43:46Z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0x0101000F11F97957C51C40B976F64FD3C59833</vt:lpwstr>
  </property>
  <property fmtid="{D5CDD505-2E9C-101B-9397-08002B2CF9AE}" pid="3" name="MediaServiceImageTags">
    <vt:lpwstr/>
  </property>
</Properties>
</file>